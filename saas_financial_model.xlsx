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Model" sheetId="2" state="visible" r:id="rId2"/>
    <sheet xmlns:r="http://schemas.openxmlformats.org/officeDocument/2006/relationships" name="Dashboard" sheetId="3" state="visible" r:id="rId3"/>
  </sheets>
  <definedNames>
    <definedName name="monthly_price">Assumptions!$B$4</definedName>
    <definedName name="annual_price">Assumptions!$B$5</definedName>
    <definedName name="monthly_mix">Assumptions!$B$6</definedName>
    <definedName name="annual_mix">Assumptions!$B$7</definedName>
    <definedName name="starting_customers">Assumptions!$B$10</definedName>
    <definedName name="new_customers_monthly">Assumptions!$B$11</definedName>
    <definedName name="churn_rate">Assumptions!$B$12</definedName>
    <definedName name="cac">Assumptions!$B$13</definedName>
    <definedName name="cogs_per_customer">Assumptions!$B$16</definedName>
    <definedName name="sm_percent">Assumptions!$B$17</definedName>
    <definedName name="opex_fixed">Assumptions!$B$18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color rgb="00FFFFFF"/>
      <sz val="12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0057B8"/>
        <bgColor rgb="000057B8"/>
      </patternFill>
    </fill>
    <fill>
      <patternFill patternType="solid">
        <fgColor rgb="00FFF2CC"/>
        <bgColor rgb="00FFF2CC"/>
      </patternFill>
    </fill>
    <fill>
      <patternFill patternType="solid">
        <fgColor rgb="00002E5D"/>
        <bgColor rgb="00002E5D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9" fontId="0" fillId="3" borderId="0" pivotButton="0" quotePrefix="0" xfId="0"/>
    <xf numFmtId="3" fontId="0" fillId="3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Growth Over Time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317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Model'!$B$14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Model'!$C$14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Model'!$D$14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Model'!$E$14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Model'!$F$14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Model'!$G$14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Model'!$H$14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Model'!$I$14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Model'!$J$14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Model'!$K$14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Model'!$L$14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Model'!$M$14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Model'!$N$14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Model'!$O$14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Model'!$P$14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Model'!$Q$14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Model'!$R$14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Model'!$S$14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Model'!$T$14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Model'!$U$14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Model'!$V$14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Model'!$W$14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Model'!$X$14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Model'!$Y$14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Model'!$Z$14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Model'!$AA$14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Model'!$AB$14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Model'!$AC$14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Model'!$AD$14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Model'!$AE$14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Model'!$AF$14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Model'!$AG$14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Model'!$AH$14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Model'!$AI$14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Model'!$AJ$14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Model'!$AK$14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Model'!$AL$14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Growth Over Time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317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Model'!$B$7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Model'!$C$7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Model'!$D$7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Model'!$E$7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Model'!$F$7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Model'!$G$7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Model'!$H$7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Model'!$I$7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Model'!$J$7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Model'!$K$7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Model'!$L$7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Model'!$M$7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Model'!$N$7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Model'!$O$7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Model'!$P$7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Model'!$Q$7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Model'!$R$7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Model'!$S$7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Model'!$T$7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Model'!$U$7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Model'!$V$7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Model'!$W$7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Model'!$X$7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Model'!$Y$7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Model'!$Z$7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Model'!$AA$7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Model'!$AB$7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Model'!$AC$7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Model'!$AD$7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Model'!$AE$7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Model'!$AF$7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Model'!$AG$7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Model'!$AH$7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Model'!$AI$7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Model'!$AJ$7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Model'!$AK$7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Model'!$AL$7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Cash Flow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317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Model'!$B$30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Model'!$C$30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Model'!$D$30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Model'!$E$30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Model'!$F$30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Model'!$G$30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Model'!$H$30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Model'!$I$30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Model'!$J$30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Model'!$K$30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Model'!$L$30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Model'!$M$30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Model'!$N$30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Model'!$O$30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Model'!$P$30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Model'!$Q$30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Model'!$R$30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Model'!$S$30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Model'!$T$30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Model'!$U$30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Model'!$V$30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Model'!$W$30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Model'!$X$30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Model'!$Y$30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Model'!$Z$30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Model'!$AA$30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Model'!$AB$30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Model'!$AC$30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Model'!$AD$30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Model'!$AE$30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Model'!$AF$30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Model'!$AG$30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Model'!$AH$30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Model'!$AI$30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Model'!$AJ$30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Model'!$AK$30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Model'!$B$1:$AL$1</f>
            </numRef>
          </cat>
          <val>
            <numRef>
              <f>'Financial Model'!$AL$30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Flow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2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SaaS Financial Model - Assumptions</t>
        </is>
      </c>
    </row>
    <row r="3">
      <c r="A3" s="2" t="inlineStr">
        <is>
          <t>Pricing Assumptions</t>
        </is>
      </c>
    </row>
    <row r="4">
      <c r="A4" t="inlineStr">
        <is>
          <t>Monthly Subscription Price</t>
        </is>
      </c>
      <c r="B4" s="3" t="n">
        <v>50</v>
      </c>
    </row>
    <row r="5">
      <c r="A5" t="inlineStr">
        <is>
          <t>Annual Subscription Price</t>
        </is>
      </c>
      <c r="B5" s="3" t="n">
        <v>500</v>
      </c>
    </row>
    <row r="6">
      <c r="A6" t="inlineStr">
        <is>
          <t>Monthly/Annual Mix - Monthly %</t>
        </is>
      </c>
      <c r="B6" s="4" t="n">
        <v>0.7</v>
      </c>
    </row>
    <row r="7">
      <c r="A7" t="inlineStr">
        <is>
          <t>Monthly/Annual Mix - Annual %</t>
        </is>
      </c>
      <c r="B7" s="4" t="n">
        <v>0.3</v>
      </c>
    </row>
    <row r="9">
      <c r="A9" s="2" t="inlineStr">
        <is>
          <t>Customer Assumptions</t>
        </is>
      </c>
    </row>
    <row r="10">
      <c r="A10" t="inlineStr">
        <is>
          <t>Starting Customers</t>
        </is>
      </c>
      <c r="B10" s="5" t="n">
        <v>100</v>
      </c>
    </row>
    <row r="11">
      <c r="A11" t="inlineStr">
        <is>
          <t>Monthly New Customer Acquisition</t>
        </is>
      </c>
      <c r="B11" s="5" t="n">
        <v>50</v>
      </c>
    </row>
    <row r="12">
      <c r="A12" t="inlineStr">
        <is>
          <t>Monthly Churn Rate</t>
        </is>
      </c>
      <c r="B12" s="4" t="n">
        <v>0.05</v>
      </c>
    </row>
    <row r="13">
      <c r="A13" t="inlineStr">
        <is>
          <t>Customer Acquisition Cost (CAC)</t>
        </is>
      </c>
      <c r="B13" s="3" t="n">
        <v>200</v>
      </c>
    </row>
    <row r="15">
      <c r="A15" s="2" t="inlineStr">
        <is>
          <t>Cost Assumptions</t>
        </is>
      </c>
    </row>
    <row r="16">
      <c r="A16" t="inlineStr">
        <is>
          <t>COGS per Customer per Month</t>
        </is>
      </c>
      <c r="B16" s="3" t="n">
        <v>10</v>
      </c>
    </row>
    <row r="17">
      <c r="A17" t="inlineStr">
        <is>
          <t>Sales &amp; Marketing % of Revenue</t>
        </is>
      </c>
      <c r="B17" s="4" t="n">
        <v>0.4</v>
      </c>
    </row>
    <row r="18">
      <c r="A18" t="inlineStr">
        <is>
          <t>Fixed Operating Expenses (Monthly)</t>
        </is>
      </c>
      <c r="B18" s="3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>
      <c r="A1" s="6" t="inlineStr">
        <is>
          <t>Month</t>
        </is>
      </c>
      <c r="B1" s="7" t="n">
        <v>0</v>
      </c>
      <c r="C1" s="7" t="n">
        <v>1</v>
      </c>
      <c r="D1" s="7" t="n">
        <v>2</v>
      </c>
      <c r="E1" s="7" t="n">
        <v>3</v>
      </c>
      <c r="F1" s="7" t="n">
        <v>4</v>
      </c>
      <c r="G1" s="7" t="n">
        <v>5</v>
      </c>
      <c r="H1" s="7" t="n">
        <v>6</v>
      </c>
      <c r="I1" s="7" t="n">
        <v>7</v>
      </c>
      <c r="J1" s="7" t="n">
        <v>8</v>
      </c>
      <c r="K1" s="7" t="n">
        <v>9</v>
      </c>
      <c r="L1" s="7" t="n">
        <v>10</v>
      </c>
      <c r="M1" s="7" t="n">
        <v>11</v>
      </c>
      <c r="N1" s="7" t="n">
        <v>12</v>
      </c>
      <c r="O1" s="7" t="n">
        <v>13</v>
      </c>
      <c r="P1" s="7" t="n">
        <v>14</v>
      </c>
      <c r="Q1" s="7" t="n">
        <v>15</v>
      </c>
      <c r="R1" s="7" t="n">
        <v>16</v>
      </c>
      <c r="S1" s="7" t="n">
        <v>17</v>
      </c>
      <c r="T1" s="7" t="n">
        <v>18</v>
      </c>
      <c r="U1" s="7" t="n">
        <v>19</v>
      </c>
      <c r="V1" s="7" t="n">
        <v>20</v>
      </c>
      <c r="W1" s="7" t="n">
        <v>21</v>
      </c>
      <c r="X1" s="7" t="n">
        <v>22</v>
      </c>
      <c r="Y1" s="7" t="n">
        <v>23</v>
      </c>
      <c r="Z1" s="7" t="n">
        <v>24</v>
      </c>
      <c r="AA1" s="7" t="n">
        <v>25</v>
      </c>
      <c r="AB1" s="7" t="n">
        <v>26</v>
      </c>
      <c r="AC1" s="7" t="n">
        <v>27</v>
      </c>
      <c r="AD1" s="7" t="n">
        <v>28</v>
      </c>
      <c r="AE1" s="7" t="n">
        <v>29</v>
      </c>
      <c r="AF1" s="7" t="n">
        <v>30</v>
      </c>
      <c r="AG1" s="7" t="n">
        <v>31</v>
      </c>
      <c r="AH1" s="7" t="n">
        <v>32</v>
      </c>
      <c r="AI1" s="7" t="n">
        <v>33</v>
      </c>
      <c r="AJ1" s="7" t="n">
        <v>34</v>
      </c>
      <c r="AK1" s="7" t="n">
        <v>35</v>
      </c>
      <c r="AL1" s="7" t="n">
        <v>36</v>
      </c>
    </row>
    <row r="3">
      <c r="A3" s="2" t="inlineStr">
        <is>
          <t>CUSTOMER METRICS</t>
        </is>
      </c>
    </row>
    <row r="4">
      <c r="A4" s="8" t="inlineStr">
        <is>
          <t>Beginning Customers</t>
        </is>
      </c>
      <c r="B4" s="9">
        <f>starting_customers</f>
        <v/>
      </c>
      <c r="C4" s="9">
        <f>B7</f>
        <v/>
      </c>
      <c r="D4" s="9">
        <f>C7</f>
        <v/>
      </c>
      <c r="E4" s="9">
        <f>D7</f>
        <v/>
      </c>
      <c r="F4" s="9">
        <f>E7</f>
        <v/>
      </c>
      <c r="G4" s="9">
        <f>F7</f>
        <v/>
      </c>
      <c r="H4" s="9">
        <f>G7</f>
        <v/>
      </c>
      <c r="I4" s="9">
        <f>H7</f>
        <v/>
      </c>
      <c r="J4" s="9">
        <f>I7</f>
        <v/>
      </c>
      <c r="K4" s="9">
        <f>J7</f>
        <v/>
      </c>
      <c r="L4" s="9">
        <f>K7</f>
        <v/>
      </c>
      <c r="M4" s="9">
        <f>L7</f>
        <v/>
      </c>
      <c r="N4" s="9">
        <f>M7</f>
        <v/>
      </c>
      <c r="O4" s="9">
        <f>N7</f>
        <v/>
      </c>
      <c r="P4" s="9">
        <f>O7</f>
        <v/>
      </c>
      <c r="Q4" s="9">
        <f>P7</f>
        <v/>
      </c>
      <c r="R4" s="9">
        <f>Q7</f>
        <v/>
      </c>
      <c r="S4" s="9">
        <f>R7</f>
        <v/>
      </c>
      <c r="T4" s="9">
        <f>S7</f>
        <v/>
      </c>
      <c r="U4" s="9">
        <f>T7</f>
        <v/>
      </c>
      <c r="V4" s="9">
        <f>U7</f>
        <v/>
      </c>
      <c r="W4" s="9">
        <f>V7</f>
        <v/>
      </c>
      <c r="X4" s="9">
        <f>W7</f>
        <v/>
      </c>
      <c r="Y4" s="9">
        <f>X7</f>
        <v/>
      </c>
      <c r="Z4" s="9">
        <f>Y7</f>
        <v/>
      </c>
      <c r="AA4" s="9">
        <f>Z7</f>
        <v/>
      </c>
      <c r="AB4" s="9">
        <f>AA7</f>
        <v/>
      </c>
      <c r="AC4" s="9">
        <f>AB7</f>
        <v/>
      </c>
      <c r="AD4" s="9">
        <f>AC7</f>
        <v/>
      </c>
      <c r="AE4" s="9">
        <f>AD7</f>
        <v/>
      </c>
      <c r="AF4" s="9">
        <f>AE7</f>
        <v/>
      </c>
      <c r="AG4" s="9">
        <f>AF7</f>
        <v/>
      </c>
      <c r="AH4" s="9">
        <f>AG7</f>
        <v/>
      </c>
      <c r="AI4" s="9">
        <f>AH7</f>
        <v/>
      </c>
      <c r="AJ4" s="9">
        <f>AI7</f>
        <v/>
      </c>
      <c r="AK4" s="9">
        <f>AJ7</f>
        <v/>
      </c>
      <c r="AL4" s="9">
        <f>AK7</f>
        <v/>
      </c>
    </row>
    <row r="5">
      <c r="A5" s="8" t="inlineStr">
        <is>
          <t>New Customers</t>
        </is>
      </c>
      <c r="B5" s="9">
        <f>new_customers_monthly</f>
        <v/>
      </c>
      <c r="C5" s="9">
        <f>new_customers_monthly</f>
        <v/>
      </c>
      <c r="D5" s="9">
        <f>new_customers_monthly</f>
        <v/>
      </c>
      <c r="E5" s="9">
        <f>new_customers_monthly</f>
        <v/>
      </c>
      <c r="F5" s="9">
        <f>new_customers_monthly</f>
        <v/>
      </c>
      <c r="G5" s="9">
        <f>new_customers_monthly</f>
        <v/>
      </c>
      <c r="H5" s="9">
        <f>new_customers_monthly</f>
        <v/>
      </c>
      <c r="I5" s="9">
        <f>new_customers_monthly</f>
        <v/>
      </c>
      <c r="J5" s="9">
        <f>new_customers_monthly</f>
        <v/>
      </c>
      <c r="K5" s="9">
        <f>new_customers_monthly</f>
        <v/>
      </c>
      <c r="L5" s="9">
        <f>new_customers_monthly</f>
        <v/>
      </c>
      <c r="M5" s="9">
        <f>new_customers_monthly</f>
        <v/>
      </c>
      <c r="N5" s="9">
        <f>new_customers_monthly</f>
        <v/>
      </c>
      <c r="O5" s="9">
        <f>new_customers_monthly</f>
        <v/>
      </c>
      <c r="P5" s="9">
        <f>new_customers_monthly</f>
        <v/>
      </c>
      <c r="Q5" s="9">
        <f>new_customers_monthly</f>
        <v/>
      </c>
      <c r="R5" s="9">
        <f>new_customers_monthly</f>
        <v/>
      </c>
      <c r="S5" s="9">
        <f>new_customers_monthly</f>
        <v/>
      </c>
      <c r="T5" s="9">
        <f>new_customers_monthly</f>
        <v/>
      </c>
      <c r="U5" s="9">
        <f>new_customers_monthly</f>
        <v/>
      </c>
      <c r="V5" s="9">
        <f>new_customers_monthly</f>
        <v/>
      </c>
      <c r="W5" s="9">
        <f>new_customers_monthly</f>
        <v/>
      </c>
      <c r="X5" s="9">
        <f>new_customers_monthly</f>
        <v/>
      </c>
      <c r="Y5" s="9">
        <f>new_customers_monthly</f>
        <v/>
      </c>
      <c r="Z5" s="9">
        <f>new_customers_monthly</f>
        <v/>
      </c>
      <c r="AA5" s="9">
        <f>new_customers_monthly</f>
        <v/>
      </c>
      <c r="AB5" s="9">
        <f>new_customers_monthly</f>
        <v/>
      </c>
      <c r="AC5" s="9">
        <f>new_customers_monthly</f>
        <v/>
      </c>
      <c r="AD5" s="9">
        <f>new_customers_monthly</f>
        <v/>
      </c>
      <c r="AE5" s="9">
        <f>new_customers_monthly</f>
        <v/>
      </c>
      <c r="AF5" s="9">
        <f>new_customers_monthly</f>
        <v/>
      </c>
      <c r="AG5" s="9">
        <f>new_customers_monthly</f>
        <v/>
      </c>
      <c r="AH5" s="9">
        <f>new_customers_monthly</f>
        <v/>
      </c>
      <c r="AI5" s="9">
        <f>new_customers_monthly</f>
        <v/>
      </c>
      <c r="AJ5" s="9">
        <f>new_customers_monthly</f>
        <v/>
      </c>
      <c r="AK5" s="9">
        <f>new_customers_monthly</f>
        <v/>
      </c>
      <c r="AL5" s="9">
        <f>new_customers_monthly</f>
        <v/>
      </c>
    </row>
    <row r="6">
      <c r="A6" s="8" t="inlineStr">
        <is>
          <t>Churned Customers</t>
        </is>
      </c>
      <c r="B6" s="9">
        <f>B4*churn_rate</f>
        <v/>
      </c>
      <c r="C6" s="9">
        <f>C4*churn_rate</f>
        <v/>
      </c>
      <c r="D6" s="9">
        <f>D4*churn_rate</f>
        <v/>
      </c>
      <c r="E6" s="9">
        <f>E4*churn_rate</f>
        <v/>
      </c>
      <c r="F6" s="9">
        <f>F4*churn_rate</f>
        <v/>
      </c>
      <c r="G6" s="9">
        <f>G4*churn_rate</f>
        <v/>
      </c>
      <c r="H6" s="9">
        <f>H4*churn_rate</f>
        <v/>
      </c>
      <c r="I6" s="9">
        <f>I4*churn_rate</f>
        <v/>
      </c>
      <c r="J6" s="9">
        <f>J4*churn_rate</f>
        <v/>
      </c>
      <c r="K6" s="9">
        <f>K4*churn_rate</f>
        <v/>
      </c>
      <c r="L6" s="9">
        <f>L4*churn_rate</f>
        <v/>
      </c>
      <c r="M6" s="9">
        <f>M4*churn_rate</f>
        <v/>
      </c>
      <c r="N6" s="9">
        <f>N4*churn_rate</f>
        <v/>
      </c>
      <c r="O6" s="9">
        <f>O4*churn_rate</f>
        <v/>
      </c>
      <c r="P6" s="9">
        <f>P4*churn_rate</f>
        <v/>
      </c>
      <c r="Q6" s="9">
        <f>Q4*churn_rate</f>
        <v/>
      </c>
      <c r="R6" s="9">
        <f>R4*churn_rate</f>
        <v/>
      </c>
      <c r="S6" s="9">
        <f>S4*churn_rate</f>
        <v/>
      </c>
      <c r="T6" s="9">
        <f>T4*churn_rate</f>
        <v/>
      </c>
      <c r="U6" s="9">
        <f>U4*churn_rate</f>
        <v/>
      </c>
      <c r="V6" s="9">
        <f>V4*churn_rate</f>
        <v/>
      </c>
      <c r="W6" s="9">
        <f>W4*churn_rate</f>
        <v/>
      </c>
      <c r="X6" s="9">
        <f>X4*churn_rate</f>
        <v/>
      </c>
      <c r="Y6" s="9">
        <f>Y4*churn_rate</f>
        <v/>
      </c>
      <c r="Z6" s="9">
        <f>Z4*churn_rate</f>
        <v/>
      </c>
      <c r="AA6" s="9">
        <f>AA4*churn_rate</f>
        <v/>
      </c>
      <c r="AB6" s="9">
        <f>AB4*churn_rate</f>
        <v/>
      </c>
      <c r="AC6" s="9">
        <f>AC4*churn_rate</f>
        <v/>
      </c>
      <c r="AD6" s="9">
        <f>AD4*churn_rate</f>
        <v/>
      </c>
      <c r="AE6" s="9">
        <f>AE4*churn_rate</f>
        <v/>
      </c>
      <c r="AF6" s="9">
        <f>AF4*churn_rate</f>
        <v/>
      </c>
      <c r="AG6" s="9">
        <f>AG4*churn_rate</f>
        <v/>
      </c>
      <c r="AH6" s="9">
        <f>AH4*churn_rate</f>
        <v/>
      </c>
      <c r="AI6" s="9">
        <f>AI4*churn_rate</f>
        <v/>
      </c>
      <c r="AJ6" s="9">
        <f>AJ4*churn_rate</f>
        <v/>
      </c>
      <c r="AK6" s="9">
        <f>AK4*churn_rate</f>
        <v/>
      </c>
      <c r="AL6" s="9">
        <f>AL4*churn_rate</f>
        <v/>
      </c>
    </row>
    <row r="7">
      <c r="A7" s="8" t="inlineStr">
        <is>
          <t>Ending Customers</t>
        </is>
      </c>
      <c r="B7" s="9">
        <f>B4+B5-B6</f>
        <v/>
      </c>
      <c r="C7" s="9">
        <f>C4+C5-C6</f>
        <v/>
      </c>
      <c r="D7" s="9">
        <f>D4+D5-D6</f>
        <v/>
      </c>
      <c r="E7" s="9">
        <f>E4+E5-E6</f>
        <v/>
      </c>
      <c r="F7" s="9">
        <f>F4+F5-F6</f>
        <v/>
      </c>
      <c r="G7" s="9">
        <f>G4+G5-G6</f>
        <v/>
      </c>
      <c r="H7" s="9">
        <f>H4+H5-H6</f>
        <v/>
      </c>
      <c r="I7" s="9">
        <f>I4+I5-I6</f>
        <v/>
      </c>
      <c r="J7" s="9">
        <f>J4+J5-J6</f>
        <v/>
      </c>
      <c r="K7" s="9">
        <f>K4+K5-K6</f>
        <v/>
      </c>
      <c r="L7" s="9">
        <f>L4+L5-L6</f>
        <v/>
      </c>
      <c r="M7" s="9">
        <f>M4+M5-M6</f>
        <v/>
      </c>
      <c r="N7" s="9">
        <f>N4+N5-N6</f>
        <v/>
      </c>
      <c r="O7" s="9">
        <f>O4+O5-O6</f>
        <v/>
      </c>
      <c r="P7" s="9">
        <f>P4+P5-P6</f>
        <v/>
      </c>
      <c r="Q7" s="9">
        <f>Q4+Q5-Q6</f>
        <v/>
      </c>
      <c r="R7" s="9">
        <f>R4+R5-R6</f>
        <v/>
      </c>
      <c r="S7" s="9">
        <f>S4+S5-S6</f>
        <v/>
      </c>
      <c r="T7" s="9">
        <f>T4+T5-T6</f>
        <v/>
      </c>
      <c r="U7" s="9">
        <f>U4+U5-U6</f>
        <v/>
      </c>
      <c r="V7" s="9">
        <f>V4+V5-V6</f>
        <v/>
      </c>
      <c r="W7" s="9">
        <f>W4+W5-W6</f>
        <v/>
      </c>
      <c r="X7" s="9">
        <f>X4+X5-X6</f>
        <v/>
      </c>
      <c r="Y7" s="9">
        <f>Y4+Y5-Y6</f>
        <v/>
      </c>
      <c r="Z7" s="9">
        <f>Z4+Z5-Z6</f>
        <v/>
      </c>
      <c r="AA7" s="9">
        <f>AA4+AA5-AA6</f>
        <v/>
      </c>
      <c r="AB7" s="9">
        <f>AB4+AB5-AB6</f>
        <v/>
      </c>
      <c r="AC7" s="9">
        <f>AC4+AC5-AC6</f>
        <v/>
      </c>
      <c r="AD7" s="9">
        <f>AD4+AD5-AD6</f>
        <v/>
      </c>
      <c r="AE7" s="9">
        <f>AE4+AE5-AE6</f>
        <v/>
      </c>
      <c r="AF7" s="9">
        <f>AF4+AF5-AF6</f>
        <v/>
      </c>
      <c r="AG7" s="9">
        <f>AG4+AG5-AG6</f>
        <v/>
      </c>
      <c r="AH7" s="9">
        <f>AH4+AH5-AH6</f>
        <v/>
      </c>
      <c r="AI7" s="9">
        <f>AI4+AI5-AI6</f>
        <v/>
      </c>
      <c r="AJ7" s="9">
        <f>AJ4+AJ5-AJ6</f>
        <v/>
      </c>
      <c r="AK7" s="9">
        <f>AK4+AK5-AK6</f>
        <v/>
      </c>
      <c r="AL7" s="9">
        <f>AL4+AL5-AL6</f>
        <v/>
      </c>
    </row>
    <row r="9">
      <c r="A9" s="2" t="inlineStr">
        <is>
          <t>REVENUE</t>
        </is>
      </c>
    </row>
    <row r="10">
      <c r="A10" s="8" t="inlineStr">
        <is>
          <t>Monthly Subscription Customers</t>
        </is>
      </c>
      <c r="B10" s="9">
        <f>B7*monthly_mix</f>
        <v/>
      </c>
      <c r="C10" s="9">
        <f>C7*monthly_mix</f>
        <v/>
      </c>
      <c r="D10" s="9">
        <f>D7*monthly_mix</f>
        <v/>
      </c>
      <c r="E10" s="9">
        <f>E7*monthly_mix</f>
        <v/>
      </c>
      <c r="F10" s="9">
        <f>F7*monthly_mix</f>
        <v/>
      </c>
      <c r="G10" s="9">
        <f>G7*monthly_mix</f>
        <v/>
      </c>
      <c r="H10" s="9">
        <f>H7*monthly_mix</f>
        <v/>
      </c>
      <c r="I10" s="9">
        <f>I7*monthly_mix</f>
        <v/>
      </c>
      <c r="J10" s="9">
        <f>J7*monthly_mix</f>
        <v/>
      </c>
      <c r="K10" s="9">
        <f>K7*monthly_mix</f>
        <v/>
      </c>
      <c r="L10" s="9">
        <f>L7*monthly_mix</f>
        <v/>
      </c>
      <c r="M10" s="9">
        <f>M7*monthly_mix</f>
        <v/>
      </c>
      <c r="N10" s="9">
        <f>N7*monthly_mix</f>
        <v/>
      </c>
      <c r="O10" s="9">
        <f>O7*monthly_mix</f>
        <v/>
      </c>
      <c r="P10" s="9">
        <f>P7*monthly_mix</f>
        <v/>
      </c>
      <c r="Q10" s="9">
        <f>Q7*monthly_mix</f>
        <v/>
      </c>
      <c r="R10" s="9">
        <f>R7*monthly_mix</f>
        <v/>
      </c>
      <c r="S10" s="9">
        <f>S7*monthly_mix</f>
        <v/>
      </c>
      <c r="T10" s="9">
        <f>T7*monthly_mix</f>
        <v/>
      </c>
      <c r="U10" s="9">
        <f>U7*monthly_mix</f>
        <v/>
      </c>
      <c r="V10" s="9">
        <f>V7*monthly_mix</f>
        <v/>
      </c>
      <c r="W10" s="9">
        <f>W7*monthly_mix</f>
        <v/>
      </c>
      <c r="X10" s="9">
        <f>X7*monthly_mix</f>
        <v/>
      </c>
      <c r="Y10" s="9">
        <f>Y7*monthly_mix</f>
        <v/>
      </c>
      <c r="Z10" s="9">
        <f>Z7*monthly_mix</f>
        <v/>
      </c>
      <c r="AA10" s="9">
        <f>AA7*monthly_mix</f>
        <v/>
      </c>
      <c r="AB10" s="9">
        <f>AB7*monthly_mix</f>
        <v/>
      </c>
      <c r="AC10" s="9">
        <f>AC7*monthly_mix</f>
        <v/>
      </c>
      <c r="AD10" s="9">
        <f>AD7*monthly_mix</f>
        <v/>
      </c>
      <c r="AE10" s="9">
        <f>AE7*monthly_mix</f>
        <v/>
      </c>
      <c r="AF10" s="9">
        <f>AF7*monthly_mix</f>
        <v/>
      </c>
      <c r="AG10" s="9">
        <f>AG7*monthly_mix</f>
        <v/>
      </c>
      <c r="AH10" s="9">
        <f>AH7*monthly_mix</f>
        <v/>
      </c>
      <c r="AI10" s="9">
        <f>AI7*monthly_mix</f>
        <v/>
      </c>
      <c r="AJ10" s="9">
        <f>AJ7*monthly_mix</f>
        <v/>
      </c>
      <c r="AK10" s="9">
        <f>AK7*monthly_mix</f>
        <v/>
      </c>
      <c r="AL10" s="9">
        <f>AL7*monthly_mix</f>
        <v/>
      </c>
    </row>
    <row r="11">
      <c r="A11" s="8" t="inlineStr">
        <is>
          <t>Annual Subscription Customers</t>
        </is>
      </c>
      <c r="B11" s="9">
        <f>B7*annual_mix</f>
        <v/>
      </c>
      <c r="C11" s="9">
        <f>C7*annual_mix</f>
        <v/>
      </c>
      <c r="D11" s="9">
        <f>D7*annual_mix</f>
        <v/>
      </c>
      <c r="E11" s="9">
        <f>E7*annual_mix</f>
        <v/>
      </c>
      <c r="F11" s="9">
        <f>F7*annual_mix</f>
        <v/>
      </c>
      <c r="G11" s="9">
        <f>G7*annual_mix</f>
        <v/>
      </c>
      <c r="H11" s="9">
        <f>H7*annual_mix</f>
        <v/>
      </c>
      <c r="I11" s="9">
        <f>I7*annual_mix</f>
        <v/>
      </c>
      <c r="J11" s="9">
        <f>J7*annual_mix</f>
        <v/>
      </c>
      <c r="K11" s="9">
        <f>K7*annual_mix</f>
        <v/>
      </c>
      <c r="L11" s="9">
        <f>L7*annual_mix</f>
        <v/>
      </c>
      <c r="M11" s="9">
        <f>M7*annual_mix</f>
        <v/>
      </c>
      <c r="N11" s="9">
        <f>N7*annual_mix</f>
        <v/>
      </c>
      <c r="O11" s="9">
        <f>O7*annual_mix</f>
        <v/>
      </c>
      <c r="P11" s="9">
        <f>P7*annual_mix</f>
        <v/>
      </c>
      <c r="Q11" s="9">
        <f>Q7*annual_mix</f>
        <v/>
      </c>
      <c r="R11" s="9">
        <f>R7*annual_mix</f>
        <v/>
      </c>
      <c r="S11" s="9">
        <f>S7*annual_mix</f>
        <v/>
      </c>
      <c r="T11" s="9">
        <f>T7*annual_mix</f>
        <v/>
      </c>
      <c r="U11" s="9">
        <f>U7*annual_mix</f>
        <v/>
      </c>
      <c r="V11" s="9">
        <f>V7*annual_mix</f>
        <v/>
      </c>
      <c r="W11" s="9">
        <f>W7*annual_mix</f>
        <v/>
      </c>
      <c r="X11" s="9">
        <f>X7*annual_mix</f>
        <v/>
      </c>
      <c r="Y11" s="9">
        <f>Y7*annual_mix</f>
        <v/>
      </c>
      <c r="Z11" s="9">
        <f>Z7*annual_mix</f>
        <v/>
      </c>
      <c r="AA11" s="9">
        <f>AA7*annual_mix</f>
        <v/>
      </c>
      <c r="AB11" s="9">
        <f>AB7*annual_mix</f>
        <v/>
      </c>
      <c r="AC11" s="9">
        <f>AC7*annual_mix</f>
        <v/>
      </c>
      <c r="AD11" s="9">
        <f>AD7*annual_mix</f>
        <v/>
      </c>
      <c r="AE11" s="9">
        <f>AE7*annual_mix</f>
        <v/>
      </c>
      <c r="AF11" s="9">
        <f>AF7*annual_mix</f>
        <v/>
      </c>
      <c r="AG11" s="9">
        <f>AG7*annual_mix</f>
        <v/>
      </c>
      <c r="AH11" s="9">
        <f>AH7*annual_mix</f>
        <v/>
      </c>
      <c r="AI11" s="9">
        <f>AI7*annual_mix</f>
        <v/>
      </c>
      <c r="AJ11" s="9">
        <f>AJ7*annual_mix</f>
        <v/>
      </c>
      <c r="AK11" s="9">
        <f>AK7*annual_mix</f>
        <v/>
      </c>
      <c r="AL11" s="9">
        <f>AL7*annual_mix</f>
        <v/>
      </c>
    </row>
    <row r="12">
      <c r="A12" s="8" t="inlineStr">
        <is>
          <t>MRR (Monthly Subs)</t>
        </is>
      </c>
      <c r="B12" s="10">
        <f>B10*monthly_price</f>
        <v/>
      </c>
      <c r="C12" s="10">
        <f>C10*monthly_price</f>
        <v/>
      </c>
      <c r="D12" s="10">
        <f>D10*monthly_price</f>
        <v/>
      </c>
      <c r="E12" s="10">
        <f>E10*monthly_price</f>
        <v/>
      </c>
      <c r="F12" s="10">
        <f>F10*monthly_price</f>
        <v/>
      </c>
      <c r="G12" s="10">
        <f>G10*monthly_price</f>
        <v/>
      </c>
      <c r="H12" s="10">
        <f>H10*monthly_price</f>
        <v/>
      </c>
      <c r="I12" s="10">
        <f>I10*monthly_price</f>
        <v/>
      </c>
      <c r="J12" s="10">
        <f>J10*monthly_price</f>
        <v/>
      </c>
      <c r="K12" s="10">
        <f>K10*monthly_price</f>
        <v/>
      </c>
      <c r="L12" s="10">
        <f>L10*monthly_price</f>
        <v/>
      </c>
      <c r="M12" s="10">
        <f>M10*monthly_price</f>
        <v/>
      </c>
      <c r="N12" s="10">
        <f>N10*monthly_price</f>
        <v/>
      </c>
      <c r="O12" s="10">
        <f>O10*monthly_price</f>
        <v/>
      </c>
      <c r="P12" s="10">
        <f>P10*monthly_price</f>
        <v/>
      </c>
      <c r="Q12" s="10">
        <f>Q10*monthly_price</f>
        <v/>
      </c>
      <c r="R12" s="10">
        <f>R10*monthly_price</f>
        <v/>
      </c>
      <c r="S12" s="10">
        <f>S10*monthly_price</f>
        <v/>
      </c>
      <c r="T12" s="10">
        <f>T10*monthly_price</f>
        <v/>
      </c>
      <c r="U12" s="10">
        <f>U10*monthly_price</f>
        <v/>
      </c>
      <c r="V12" s="10">
        <f>V10*monthly_price</f>
        <v/>
      </c>
      <c r="W12" s="10">
        <f>W10*monthly_price</f>
        <v/>
      </c>
      <c r="X12" s="10">
        <f>X10*monthly_price</f>
        <v/>
      </c>
      <c r="Y12" s="10">
        <f>Y10*monthly_price</f>
        <v/>
      </c>
      <c r="Z12" s="10">
        <f>Z10*monthly_price</f>
        <v/>
      </c>
      <c r="AA12" s="10">
        <f>AA10*monthly_price</f>
        <v/>
      </c>
      <c r="AB12" s="10">
        <f>AB10*monthly_price</f>
        <v/>
      </c>
      <c r="AC12" s="10">
        <f>AC10*monthly_price</f>
        <v/>
      </c>
      <c r="AD12" s="10">
        <f>AD10*monthly_price</f>
        <v/>
      </c>
      <c r="AE12" s="10">
        <f>AE10*monthly_price</f>
        <v/>
      </c>
      <c r="AF12" s="10">
        <f>AF10*monthly_price</f>
        <v/>
      </c>
      <c r="AG12" s="10">
        <f>AG10*monthly_price</f>
        <v/>
      </c>
      <c r="AH12" s="10">
        <f>AH10*monthly_price</f>
        <v/>
      </c>
      <c r="AI12" s="10">
        <f>AI10*monthly_price</f>
        <v/>
      </c>
      <c r="AJ12" s="10">
        <f>AJ10*monthly_price</f>
        <v/>
      </c>
      <c r="AK12" s="10">
        <f>AK10*monthly_price</f>
        <v/>
      </c>
      <c r="AL12" s="10">
        <f>AL10*monthly_price</f>
        <v/>
      </c>
    </row>
    <row r="13">
      <c r="A13" s="8" t="inlineStr">
        <is>
          <t>ARR Recognition (Monthly)</t>
        </is>
      </c>
      <c r="B13" s="10">
        <f>B11*annual_price/12</f>
        <v/>
      </c>
      <c r="C13" s="10">
        <f>C11*annual_price/12</f>
        <v/>
      </c>
      <c r="D13" s="10">
        <f>D11*annual_price/12</f>
        <v/>
      </c>
      <c r="E13" s="10">
        <f>E11*annual_price/12</f>
        <v/>
      </c>
      <c r="F13" s="10">
        <f>F11*annual_price/12</f>
        <v/>
      </c>
      <c r="G13" s="10">
        <f>G11*annual_price/12</f>
        <v/>
      </c>
      <c r="H13" s="10">
        <f>H11*annual_price/12</f>
        <v/>
      </c>
      <c r="I13" s="10">
        <f>I11*annual_price/12</f>
        <v/>
      </c>
      <c r="J13" s="10">
        <f>J11*annual_price/12</f>
        <v/>
      </c>
      <c r="K13" s="10">
        <f>K11*annual_price/12</f>
        <v/>
      </c>
      <c r="L13" s="10">
        <f>L11*annual_price/12</f>
        <v/>
      </c>
      <c r="M13" s="10">
        <f>M11*annual_price/12</f>
        <v/>
      </c>
      <c r="N13" s="10">
        <f>N11*annual_price/12</f>
        <v/>
      </c>
      <c r="O13" s="10">
        <f>O11*annual_price/12</f>
        <v/>
      </c>
      <c r="P13" s="10">
        <f>P11*annual_price/12</f>
        <v/>
      </c>
      <c r="Q13" s="10">
        <f>Q11*annual_price/12</f>
        <v/>
      </c>
      <c r="R13" s="10">
        <f>R11*annual_price/12</f>
        <v/>
      </c>
      <c r="S13" s="10">
        <f>S11*annual_price/12</f>
        <v/>
      </c>
      <c r="T13" s="10">
        <f>T11*annual_price/12</f>
        <v/>
      </c>
      <c r="U13" s="10">
        <f>U11*annual_price/12</f>
        <v/>
      </c>
      <c r="V13" s="10">
        <f>V11*annual_price/12</f>
        <v/>
      </c>
      <c r="W13" s="10">
        <f>W11*annual_price/12</f>
        <v/>
      </c>
      <c r="X13" s="10">
        <f>X11*annual_price/12</f>
        <v/>
      </c>
      <c r="Y13" s="10">
        <f>Y11*annual_price/12</f>
        <v/>
      </c>
      <c r="Z13" s="10">
        <f>Z11*annual_price/12</f>
        <v/>
      </c>
      <c r="AA13" s="10">
        <f>AA11*annual_price/12</f>
        <v/>
      </c>
      <c r="AB13" s="10">
        <f>AB11*annual_price/12</f>
        <v/>
      </c>
      <c r="AC13" s="10">
        <f>AC11*annual_price/12</f>
        <v/>
      </c>
      <c r="AD13" s="10">
        <f>AD11*annual_price/12</f>
        <v/>
      </c>
      <c r="AE13" s="10">
        <f>AE11*annual_price/12</f>
        <v/>
      </c>
      <c r="AF13" s="10">
        <f>AF11*annual_price/12</f>
        <v/>
      </c>
      <c r="AG13" s="10">
        <f>AG11*annual_price/12</f>
        <v/>
      </c>
      <c r="AH13" s="10">
        <f>AH11*annual_price/12</f>
        <v/>
      </c>
      <c r="AI13" s="10">
        <f>AI11*annual_price/12</f>
        <v/>
      </c>
      <c r="AJ13" s="10">
        <f>AJ11*annual_price/12</f>
        <v/>
      </c>
      <c r="AK13" s="10">
        <f>AK11*annual_price/12</f>
        <v/>
      </c>
      <c r="AL13" s="10">
        <f>AL11*annual_price/12</f>
        <v/>
      </c>
    </row>
    <row r="14">
      <c r="A14" s="8" t="inlineStr">
        <is>
          <t>Total Monthly Revenue</t>
        </is>
      </c>
      <c r="B14" s="10">
        <f>B12+B13</f>
        <v/>
      </c>
      <c r="C14" s="10">
        <f>C12+C13</f>
        <v/>
      </c>
      <c r="D14" s="10">
        <f>D12+D13</f>
        <v/>
      </c>
      <c r="E14" s="10">
        <f>E12+E13</f>
        <v/>
      </c>
      <c r="F14" s="10">
        <f>F12+F13</f>
        <v/>
      </c>
      <c r="G14" s="10">
        <f>G12+G13</f>
        <v/>
      </c>
      <c r="H14" s="10">
        <f>H12+H13</f>
        <v/>
      </c>
      <c r="I14" s="10">
        <f>I12+I13</f>
        <v/>
      </c>
      <c r="J14" s="10">
        <f>J12+J13</f>
        <v/>
      </c>
      <c r="K14" s="10">
        <f>K12+K13</f>
        <v/>
      </c>
      <c r="L14" s="10">
        <f>L12+L13</f>
        <v/>
      </c>
      <c r="M14" s="10">
        <f>M12+M13</f>
        <v/>
      </c>
      <c r="N14" s="10">
        <f>N12+N13</f>
        <v/>
      </c>
      <c r="O14" s="10">
        <f>O12+O13</f>
        <v/>
      </c>
      <c r="P14" s="10">
        <f>P12+P13</f>
        <v/>
      </c>
      <c r="Q14" s="10">
        <f>Q12+Q13</f>
        <v/>
      </c>
      <c r="R14" s="10">
        <f>R12+R13</f>
        <v/>
      </c>
      <c r="S14" s="10">
        <f>S12+S13</f>
        <v/>
      </c>
      <c r="T14" s="10">
        <f>T12+T13</f>
        <v/>
      </c>
      <c r="U14" s="10">
        <f>U12+U13</f>
        <v/>
      </c>
      <c r="V14" s="10">
        <f>V12+V13</f>
        <v/>
      </c>
      <c r="W14" s="10">
        <f>W12+W13</f>
        <v/>
      </c>
      <c r="X14" s="10">
        <f>X12+X13</f>
        <v/>
      </c>
      <c r="Y14" s="10">
        <f>Y12+Y13</f>
        <v/>
      </c>
      <c r="Z14" s="10">
        <f>Z12+Z13</f>
        <v/>
      </c>
      <c r="AA14" s="10">
        <f>AA12+AA13</f>
        <v/>
      </c>
      <c r="AB14" s="10">
        <f>AB12+AB13</f>
        <v/>
      </c>
      <c r="AC14" s="10">
        <f>AC12+AC13</f>
        <v/>
      </c>
      <c r="AD14" s="10">
        <f>AD12+AD13</f>
        <v/>
      </c>
      <c r="AE14" s="10">
        <f>AE12+AE13</f>
        <v/>
      </c>
      <c r="AF14" s="10">
        <f>AF12+AF13</f>
        <v/>
      </c>
      <c r="AG14" s="10">
        <f>AG12+AG13</f>
        <v/>
      </c>
      <c r="AH14" s="10">
        <f>AH12+AH13</f>
        <v/>
      </c>
      <c r="AI14" s="10">
        <f>AI12+AI13</f>
        <v/>
      </c>
      <c r="AJ14" s="10">
        <f>AJ12+AJ13</f>
        <v/>
      </c>
      <c r="AK14" s="10">
        <f>AK12+AK13</f>
        <v/>
      </c>
      <c r="AL14" s="10">
        <f>AL12+AL13</f>
        <v/>
      </c>
    </row>
    <row r="15">
      <c r="A15" s="8" t="inlineStr">
        <is>
          <t>ARR (Annual Run Rate)</t>
        </is>
      </c>
      <c r="B15" s="10">
        <f>B14*12</f>
        <v/>
      </c>
      <c r="C15" s="10">
        <f>C14*12</f>
        <v/>
      </c>
      <c r="D15" s="10">
        <f>D14*12</f>
        <v/>
      </c>
      <c r="E15" s="10">
        <f>E14*12</f>
        <v/>
      </c>
      <c r="F15" s="10">
        <f>F14*12</f>
        <v/>
      </c>
      <c r="G15" s="10">
        <f>G14*12</f>
        <v/>
      </c>
      <c r="H15" s="10">
        <f>H14*12</f>
        <v/>
      </c>
      <c r="I15" s="10">
        <f>I14*12</f>
        <v/>
      </c>
      <c r="J15" s="10">
        <f>J14*12</f>
        <v/>
      </c>
      <c r="K15" s="10">
        <f>K14*12</f>
        <v/>
      </c>
      <c r="L15" s="10">
        <f>L14*12</f>
        <v/>
      </c>
      <c r="M15" s="10">
        <f>M14*12</f>
        <v/>
      </c>
      <c r="N15" s="10">
        <f>N14*12</f>
        <v/>
      </c>
      <c r="O15" s="10">
        <f>O14*12</f>
        <v/>
      </c>
      <c r="P15" s="10">
        <f>P14*12</f>
        <v/>
      </c>
      <c r="Q15" s="10">
        <f>Q14*12</f>
        <v/>
      </c>
      <c r="R15" s="10">
        <f>R14*12</f>
        <v/>
      </c>
      <c r="S15" s="10">
        <f>S14*12</f>
        <v/>
      </c>
      <c r="T15" s="10">
        <f>T14*12</f>
        <v/>
      </c>
      <c r="U15" s="10">
        <f>U14*12</f>
        <v/>
      </c>
      <c r="V15" s="10">
        <f>V14*12</f>
        <v/>
      </c>
      <c r="W15" s="10">
        <f>W14*12</f>
        <v/>
      </c>
      <c r="X15" s="10">
        <f>X14*12</f>
        <v/>
      </c>
      <c r="Y15" s="10">
        <f>Y14*12</f>
        <v/>
      </c>
      <c r="Z15" s="10">
        <f>Z14*12</f>
        <v/>
      </c>
      <c r="AA15" s="10">
        <f>AA14*12</f>
        <v/>
      </c>
      <c r="AB15" s="10">
        <f>AB14*12</f>
        <v/>
      </c>
      <c r="AC15" s="10">
        <f>AC14*12</f>
        <v/>
      </c>
      <c r="AD15" s="10">
        <f>AD14*12</f>
        <v/>
      </c>
      <c r="AE15" s="10">
        <f>AE14*12</f>
        <v/>
      </c>
      <c r="AF15" s="10">
        <f>AF14*12</f>
        <v/>
      </c>
      <c r="AG15" s="10">
        <f>AG14*12</f>
        <v/>
      </c>
      <c r="AH15" s="10">
        <f>AH14*12</f>
        <v/>
      </c>
      <c r="AI15" s="10">
        <f>AI14*12</f>
        <v/>
      </c>
      <c r="AJ15" s="10">
        <f>AJ14*12</f>
        <v/>
      </c>
      <c r="AK15" s="10">
        <f>AK14*12</f>
        <v/>
      </c>
      <c r="AL15" s="10">
        <f>AL14*12</f>
        <v/>
      </c>
    </row>
    <row r="17">
      <c r="A17" s="2" t="inlineStr">
        <is>
          <t>EXPENSES</t>
        </is>
      </c>
    </row>
    <row r="18">
      <c r="A18" s="8" t="inlineStr">
        <is>
          <t>CAC Costs</t>
        </is>
      </c>
      <c r="B18" s="10">
        <f>B5*cac</f>
        <v/>
      </c>
      <c r="C18" s="10">
        <f>C5*cac</f>
        <v/>
      </c>
      <c r="D18" s="10">
        <f>D5*cac</f>
        <v/>
      </c>
      <c r="E18" s="10">
        <f>E5*cac</f>
        <v/>
      </c>
      <c r="F18" s="10">
        <f>F5*cac</f>
        <v/>
      </c>
      <c r="G18" s="10">
        <f>G5*cac</f>
        <v/>
      </c>
      <c r="H18" s="10">
        <f>H5*cac</f>
        <v/>
      </c>
      <c r="I18" s="10">
        <f>I5*cac</f>
        <v/>
      </c>
      <c r="J18" s="10">
        <f>J5*cac</f>
        <v/>
      </c>
      <c r="K18" s="10">
        <f>K5*cac</f>
        <v/>
      </c>
      <c r="L18" s="10">
        <f>L5*cac</f>
        <v/>
      </c>
      <c r="M18" s="10">
        <f>M5*cac</f>
        <v/>
      </c>
      <c r="N18" s="10">
        <f>N5*cac</f>
        <v/>
      </c>
      <c r="O18" s="10">
        <f>O5*cac</f>
        <v/>
      </c>
      <c r="P18" s="10">
        <f>P5*cac</f>
        <v/>
      </c>
      <c r="Q18" s="10">
        <f>Q5*cac</f>
        <v/>
      </c>
      <c r="R18" s="10">
        <f>R5*cac</f>
        <v/>
      </c>
      <c r="S18" s="10">
        <f>S5*cac</f>
        <v/>
      </c>
      <c r="T18" s="10">
        <f>T5*cac</f>
        <v/>
      </c>
      <c r="U18" s="10">
        <f>U5*cac</f>
        <v/>
      </c>
      <c r="V18" s="10">
        <f>V5*cac</f>
        <v/>
      </c>
      <c r="W18" s="10">
        <f>W5*cac</f>
        <v/>
      </c>
      <c r="X18" s="10">
        <f>X5*cac</f>
        <v/>
      </c>
      <c r="Y18" s="10">
        <f>Y5*cac</f>
        <v/>
      </c>
      <c r="Z18" s="10">
        <f>Z5*cac</f>
        <v/>
      </c>
      <c r="AA18" s="10">
        <f>AA5*cac</f>
        <v/>
      </c>
      <c r="AB18" s="10">
        <f>AB5*cac</f>
        <v/>
      </c>
      <c r="AC18" s="10">
        <f>AC5*cac</f>
        <v/>
      </c>
      <c r="AD18" s="10">
        <f>AD5*cac</f>
        <v/>
      </c>
      <c r="AE18" s="10">
        <f>AE5*cac</f>
        <v/>
      </c>
      <c r="AF18" s="10">
        <f>AF5*cac</f>
        <v/>
      </c>
      <c r="AG18" s="10">
        <f>AG5*cac</f>
        <v/>
      </c>
      <c r="AH18" s="10">
        <f>AH5*cac</f>
        <v/>
      </c>
      <c r="AI18" s="10">
        <f>AI5*cac</f>
        <v/>
      </c>
      <c r="AJ18" s="10">
        <f>AJ5*cac</f>
        <v/>
      </c>
      <c r="AK18" s="10">
        <f>AK5*cac</f>
        <v/>
      </c>
      <c r="AL18" s="10">
        <f>AL5*cac</f>
        <v/>
      </c>
    </row>
    <row r="19">
      <c r="A19" s="8" t="inlineStr">
        <is>
          <t>COGS</t>
        </is>
      </c>
      <c r="B19" s="10">
        <f>B7*cogs_per_customer</f>
        <v/>
      </c>
      <c r="C19" s="10">
        <f>C7*cogs_per_customer</f>
        <v/>
      </c>
      <c r="D19" s="10">
        <f>D7*cogs_per_customer</f>
        <v/>
      </c>
      <c r="E19" s="10">
        <f>E7*cogs_per_customer</f>
        <v/>
      </c>
      <c r="F19" s="10">
        <f>F7*cogs_per_customer</f>
        <v/>
      </c>
      <c r="G19" s="10">
        <f>G7*cogs_per_customer</f>
        <v/>
      </c>
      <c r="H19" s="10">
        <f>H7*cogs_per_customer</f>
        <v/>
      </c>
      <c r="I19" s="10">
        <f>I7*cogs_per_customer</f>
        <v/>
      </c>
      <c r="J19" s="10">
        <f>J7*cogs_per_customer</f>
        <v/>
      </c>
      <c r="K19" s="10">
        <f>K7*cogs_per_customer</f>
        <v/>
      </c>
      <c r="L19" s="10">
        <f>L7*cogs_per_customer</f>
        <v/>
      </c>
      <c r="M19" s="10">
        <f>M7*cogs_per_customer</f>
        <v/>
      </c>
      <c r="N19" s="10">
        <f>N7*cogs_per_customer</f>
        <v/>
      </c>
      <c r="O19" s="10">
        <f>O7*cogs_per_customer</f>
        <v/>
      </c>
      <c r="P19" s="10">
        <f>P7*cogs_per_customer</f>
        <v/>
      </c>
      <c r="Q19" s="10">
        <f>Q7*cogs_per_customer</f>
        <v/>
      </c>
      <c r="R19" s="10">
        <f>R7*cogs_per_customer</f>
        <v/>
      </c>
      <c r="S19" s="10">
        <f>S7*cogs_per_customer</f>
        <v/>
      </c>
      <c r="T19" s="10">
        <f>T7*cogs_per_customer</f>
        <v/>
      </c>
      <c r="U19" s="10">
        <f>U7*cogs_per_customer</f>
        <v/>
      </c>
      <c r="V19" s="10">
        <f>V7*cogs_per_customer</f>
        <v/>
      </c>
      <c r="W19" s="10">
        <f>W7*cogs_per_customer</f>
        <v/>
      </c>
      <c r="X19" s="10">
        <f>X7*cogs_per_customer</f>
        <v/>
      </c>
      <c r="Y19" s="10">
        <f>Y7*cogs_per_customer</f>
        <v/>
      </c>
      <c r="Z19" s="10">
        <f>Z7*cogs_per_customer</f>
        <v/>
      </c>
      <c r="AA19" s="10">
        <f>AA7*cogs_per_customer</f>
        <v/>
      </c>
      <c r="AB19" s="10">
        <f>AB7*cogs_per_customer</f>
        <v/>
      </c>
      <c r="AC19" s="10">
        <f>AC7*cogs_per_customer</f>
        <v/>
      </c>
      <c r="AD19" s="10">
        <f>AD7*cogs_per_customer</f>
        <v/>
      </c>
      <c r="AE19" s="10">
        <f>AE7*cogs_per_customer</f>
        <v/>
      </c>
      <c r="AF19" s="10">
        <f>AF7*cogs_per_customer</f>
        <v/>
      </c>
      <c r="AG19" s="10">
        <f>AG7*cogs_per_customer</f>
        <v/>
      </c>
      <c r="AH19" s="10">
        <f>AH7*cogs_per_customer</f>
        <v/>
      </c>
      <c r="AI19" s="10">
        <f>AI7*cogs_per_customer</f>
        <v/>
      </c>
      <c r="AJ19" s="10">
        <f>AJ7*cogs_per_customer</f>
        <v/>
      </c>
      <c r="AK19" s="10">
        <f>AK7*cogs_per_customer</f>
        <v/>
      </c>
      <c r="AL19" s="10">
        <f>AL7*cogs_per_customer</f>
        <v/>
      </c>
    </row>
    <row r="20">
      <c r="A20" s="8" t="inlineStr">
        <is>
          <t>Sales &amp; Marketing</t>
        </is>
      </c>
      <c r="B20" s="10">
        <f>B14*sm_percent</f>
        <v/>
      </c>
      <c r="C20" s="10">
        <f>C14*sm_percent</f>
        <v/>
      </c>
      <c r="D20" s="10">
        <f>D14*sm_percent</f>
        <v/>
      </c>
      <c r="E20" s="10">
        <f>E14*sm_percent</f>
        <v/>
      </c>
      <c r="F20" s="10">
        <f>F14*sm_percent</f>
        <v/>
      </c>
      <c r="G20" s="10">
        <f>G14*sm_percent</f>
        <v/>
      </c>
      <c r="H20" s="10">
        <f>H14*sm_percent</f>
        <v/>
      </c>
      <c r="I20" s="10">
        <f>I14*sm_percent</f>
        <v/>
      </c>
      <c r="J20" s="10">
        <f>J14*sm_percent</f>
        <v/>
      </c>
      <c r="K20" s="10">
        <f>K14*sm_percent</f>
        <v/>
      </c>
      <c r="L20" s="10">
        <f>L14*sm_percent</f>
        <v/>
      </c>
      <c r="M20" s="10">
        <f>M14*sm_percent</f>
        <v/>
      </c>
      <c r="N20" s="10">
        <f>N14*sm_percent</f>
        <v/>
      </c>
      <c r="O20" s="10">
        <f>O14*sm_percent</f>
        <v/>
      </c>
      <c r="P20" s="10">
        <f>P14*sm_percent</f>
        <v/>
      </c>
      <c r="Q20" s="10">
        <f>Q14*sm_percent</f>
        <v/>
      </c>
      <c r="R20" s="10">
        <f>R14*sm_percent</f>
        <v/>
      </c>
      <c r="S20" s="10">
        <f>S14*sm_percent</f>
        <v/>
      </c>
      <c r="T20" s="10">
        <f>T14*sm_percent</f>
        <v/>
      </c>
      <c r="U20" s="10">
        <f>U14*sm_percent</f>
        <v/>
      </c>
      <c r="V20" s="10">
        <f>V14*sm_percent</f>
        <v/>
      </c>
      <c r="W20" s="10">
        <f>W14*sm_percent</f>
        <v/>
      </c>
      <c r="X20" s="10">
        <f>X14*sm_percent</f>
        <v/>
      </c>
      <c r="Y20" s="10">
        <f>Y14*sm_percent</f>
        <v/>
      </c>
      <c r="Z20" s="10">
        <f>Z14*sm_percent</f>
        <v/>
      </c>
      <c r="AA20" s="10">
        <f>AA14*sm_percent</f>
        <v/>
      </c>
      <c r="AB20" s="10">
        <f>AB14*sm_percent</f>
        <v/>
      </c>
      <c r="AC20" s="10">
        <f>AC14*sm_percent</f>
        <v/>
      </c>
      <c r="AD20" s="10">
        <f>AD14*sm_percent</f>
        <v/>
      </c>
      <c r="AE20" s="10">
        <f>AE14*sm_percent</f>
        <v/>
      </c>
      <c r="AF20" s="10">
        <f>AF14*sm_percent</f>
        <v/>
      </c>
      <c r="AG20" s="10">
        <f>AG14*sm_percent</f>
        <v/>
      </c>
      <c r="AH20" s="10">
        <f>AH14*sm_percent</f>
        <v/>
      </c>
      <c r="AI20" s="10">
        <f>AI14*sm_percent</f>
        <v/>
      </c>
      <c r="AJ20" s="10">
        <f>AJ14*sm_percent</f>
        <v/>
      </c>
      <c r="AK20" s="10">
        <f>AK14*sm_percent</f>
        <v/>
      </c>
      <c r="AL20" s="10">
        <f>AL14*sm_percent</f>
        <v/>
      </c>
    </row>
    <row r="21">
      <c r="A21" s="8" t="inlineStr">
        <is>
          <t>Operating Expenses</t>
        </is>
      </c>
      <c r="B21" s="10">
        <f>opex_fixed</f>
        <v/>
      </c>
      <c r="C21" s="10">
        <f>opex_fixed</f>
        <v/>
      </c>
      <c r="D21" s="10">
        <f>opex_fixed</f>
        <v/>
      </c>
      <c r="E21" s="10">
        <f>opex_fixed</f>
        <v/>
      </c>
      <c r="F21" s="10">
        <f>opex_fixed</f>
        <v/>
      </c>
      <c r="G21" s="10">
        <f>opex_fixed</f>
        <v/>
      </c>
      <c r="H21" s="10">
        <f>opex_fixed</f>
        <v/>
      </c>
      <c r="I21" s="10">
        <f>opex_fixed</f>
        <v/>
      </c>
      <c r="J21" s="10">
        <f>opex_fixed</f>
        <v/>
      </c>
      <c r="K21" s="10">
        <f>opex_fixed</f>
        <v/>
      </c>
      <c r="L21" s="10">
        <f>opex_fixed</f>
        <v/>
      </c>
      <c r="M21" s="10">
        <f>opex_fixed</f>
        <v/>
      </c>
      <c r="N21" s="10">
        <f>opex_fixed</f>
        <v/>
      </c>
      <c r="O21" s="10">
        <f>opex_fixed</f>
        <v/>
      </c>
      <c r="P21" s="10">
        <f>opex_fixed</f>
        <v/>
      </c>
      <c r="Q21" s="10">
        <f>opex_fixed</f>
        <v/>
      </c>
      <c r="R21" s="10">
        <f>opex_fixed</f>
        <v/>
      </c>
      <c r="S21" s="10">
        <f>opex_fixed</f>
        <v/>
      </c>
      <c r="T21" s="10">
        <f>opex_fixed</f>
        <v/>
      </c>
      <c r="U21" s="10">
        <f>opex_fixed</f>
        <v/>
      </c>
      <c r="V21" s="10">
        <f>opex_fixed</f>
        <v/>
      </c>
      <c r="W21" s="10">
        <f>opex_fixed</f>
        <v/>
      </c>
      <c r="X21" s="10">
        <f>opex_fixed</f>
        <v/>
      </c>
      <c r="Y21" s="10">
        <f>opex_fixed</f>
        <v/>
      </c>
      <c r="Z21" s="10">
        <f>opex_fixed</f>
        <v/>
      </c>
      <c r="AA21" s="10">
        <f>opex_fixed</f>
        <v/>
      </c>
      <c r="AB21" s="10">
        <f>opex_fixed</f>
        <v/>
      </c>
      <c r="AC21" s="10">
        <f>opex_fixed</f>
        <v/>
      </c>
      <c r="AD21" s="10">
        <f>opex_fixed</f>
        <v/>
      </c>
      <c r="AE21" s="10">
        <f>opex_fixed</f>
        <v/>
      </c>
      <c r="AF21" s="10">
        <f>opex_fixed</f>
        <v/>
      </c>
      <c r="AG21" s="10">
        <f>opex_fixed</f>
        <v/>
      </c>
      <c r="AH21" s="10">
        <f>opex_fixed</f>
        <v/>
      </c>
      <c r="AI21" s="10">
        <f>opex_fixed</f>
        <v/>
      </c>
      <c r="AJ21" s="10">
        <f>opex_fixed</f>
        <v/>
      </c>
      <c r="AK21" s="10">
        <f>opex_fixed</f>
        <v/>
      </c>
      <c r="AL21" s="10">
        <f>opex_fixed</f>
        <v/>
      </c>
    </row>
    <row r="22">
      <c r="A22" s="8" t="inlineStr">
        <is>
          <t>Total Expenses</t>
        </is>
      </c>
      <c r="B22" s="10">
        <f>SUM(B18:B21)</f>
        <v/>
      </c>
      <c r="C22" s="10">
        <f>SUM(C18:C21)</f>
        <v/>
      </c>
      <c r="D22" s="10">
        <f>SUM(D18:D21)</f>
        <v/>
      </c>
      <c r="E22" s="10">
        <f>SUM(E18:E21)</f>
        <v/>
      </c>
      <c r="F22" s="10">
        <f>SUM(F18:F21)</f>
        <v/>
      </c>
      <c r="G22" s="10">
        <f>SUM(G18:G21)</f>
        <v/>
      </c>
      <c r="H22" s="10">
        <f>SUM(H18:H21)</f>
        <v/>
      </c>
      <c r="I22" s="10">
        <f>SUM(I18:I21)</f>
        <v/>
      </c>
      <c r="J22" s="10">
        <f>SUM(J18:J21)</f>
        <v/>
      </c>
      <c r="K22" s="10">
        <f>SUM(K18:K21)</f>
        <v/>
      </c>
      <c r="L22" s="10">
        <f>SUM(L18:L21)</f>
        <v/>
      </c>
      <c r="M22" s="10">
        <f>SUM(M18:M21)</f>
        <v/>
      </c>
      <c r="N22" s="10">
        <f>SUM(N18:N21)</f>
        <v/>
      </c>
      <c r="O22" s="10">
        <f>SUM(O18:O21)</f>
        <v/>
      </c>
      <c r="P22" s="10">
        <f>SUM(P18:P21)</f>
        <v/>
      </c>
      <c r="Q22" s="10">
        <f>SUM(Q18:Q21)</f>
        <v/>
      </c>
      <c r="R22" s="10">
        <f>SUM(R18:R21)</f>
        <v/>
      </c>
      <c r="S22" s="10">
        <f>SUM(S18:S21)</f>
        <v/>
      </c>
      <c r="T22" s="10">
        <f>SUM(T18:T21)</f>
        <v/>
      </c>
      <c r="U22" s="10">
        <f>SUM(U18:U21)</f>
        <v/>
      </c>
      <c r="V22" s="10">
        <f>SUM(V18:V21)</f>
        <v/>
      </c>
      <c r="W22" s="10">
        <f>SUM(W18:W21)</f>
        <v/>
      </c>
      <c r="X22" s="10">
        <f>SUM(X18:X21)</f>
        <v/>
      </c>
      <c r="Y22" s="10">
        <f>SUM(Y18:Y21)</f>
        <v/>
      </c>
      <c r="Z22" s="10">
        <f>SUM(Z18:Z21)</f>
        <v/>
      </c>
      <c r="AA22" s="10">
        <f>SUM(AA18:AA21)</f>
        <v/>
      </c>
      <c r="AB22" s="10">
        <f>SUM(AB18:AB21)</f>
        <v/>
      </c>
      <c r="AC22" s="10">
        <f>SUM(AC18:AC21)</f>
        <v/>
      </c>
      <c r="AD22" s="10">
        <f>SUM(AD18:AD21)</f>
        <v/>
      </c>
      <c r="AE22" s="10">
        <f>SUM(AE18:AE21)</f>
        <v/>
      </c>
      <c r="AF22" s="10">
        <f>SUM(AF18:AF21)</f>
        <v/>
      </c>
      <c r="AG22" s="10">
        <f>SUM(AG18:AG21)</f>
        <v/>
      </c>
      <c r="AH22" s="10">
        <f>SUM(AH18:AH21)</f>
        <v/>
      </c>
      <c r="AI22" s="10">
        <f>SUM(AI18:AI21)</f>
        <v/>
      </c>
      <c r="AJ22" s="10">
        <f>SUM(AJ18:AJ21)</f>
        <v/>
      </c>
      <c r="AK22" s="10">
        <f>SUM(AK18:AK21)</f>
        <v/>
      </c>
      <c r="AL22" s="10">
        <f>SUM(AL18:AL21)</f>
        <v/>
      </c>
    </row>
    <row r="24">
      <c r="A24" s="2" t="inlineStr">
        <is>
          <t>PROFITABILITY</t>
        </is>
      </c>
    </row>
    <row r="25">
      <c r="A25" s="8" t="inlineStr">
        <is>
          <t>Gross Profit</t>
        </is>
      </c>
      <c r="B25" s="10">
        <f>B14-B19</f>
        <v/>
      </c>
      <c r="C25" s="10">
        <f>C14-C19</f>
        <v/>
      </c>
      <c r="D25" s="10">
        <f>D14-D19</f>
        <v/>
      </c>
      <c r="E25" s="10">
        <f>E14-E19</f>
        <v/>
      </c>
      <c r="F25" s="10">
        <f>F14-F19</f>
        <v/>
      </c>
      <c r="G25" s="10">
        <f>G14-G19</f>
        <v/>
      </c>
      <c r="H25" s="10">
        <f>H14-H19</f>
        <v/>
      </c>
      <c r="I25" s="10">
        <f>I14-I19</f>
        <v/>
      </c>
      <c r="J25" s="10">
        <f>J14-J19</f>
        <v/>
      </c>
      <c r="K25" s="10">
        <f>K14-K19</f>
        <v/>
      </c>
      <c r="L25" s="10">
        <f>L14-L19</f>
        <v/>
      </c>
      <c r="M25" s="10">
        <f>M14-M19</f>
        <v/>
      </c>
      <c r="N25" s="10">
        <f>N14-N19</f>
        <v/>
      </c>
      <c r="O25" s="10">
        <f>O14-O19</f>
        <v/>
      </c>
      <c r="P25" s="10">
        <f>P14-P19</f>
        <v/>
      </c>
      <c r="Q25" s="10">
        <f>Q14-Q19</f>
        <v/>
      </c>
      <c r="R25" s="10">
        <f>R14-R19</f>
        <v/>
      </c>
      <c r="S25" s="10">
        <f>S14-S19</f>
        <v/>
      </c>
      <c r="T25" s="10">
        <f>T14-T19</f>
        <v/>
      </c>
      <c r="U25" s="10">
        <f>U14-U19</f>
        <v/>
      </c>
      <c r="V25" s="10">
        <f>V14-V19</f>
        <v/>
      </c>
      <c r="W25" s="10">
        <f>W14-W19</f>
        <v/>
      </c>
      <c r="X25" s="10">
        <f>X14-X19</f>
        <v/>
      </c>
      <c r="Y25" s="10">
        <f>Y14-Y19</f>
        <v/>
      </c>
      <c r="Z25" s="10">
        <f>Z14-Z19</f>
        <v/>
      </c>
      <c r="AA25" s="10">
        <f>AA14-AA19</f>
        <v/>
      </c>
      <c r="AB25" s="10">
        <f>AB14-AB19</f>
        <v/>
      </c>
      <c r="AC25" s="10">
        <f>AC14-AC19</f>
        <v/>
      </c>
      <c r="AD25" s="10">
        <f>AD14-AD19</f>
        <v/>
      </c>
      <c r="AE25" s="10">
        <f>AE14-AE19</f>
        <v/>
      </c>
      <c r="AF25" s="10">
        <f>AF14-AF19</f>
        <v/>
      </c>
      <c r="AG25" s="10">
        <f>AG14-AG19</f>
        <v/>
      </c>
      <c r="AH25" s="10">
        <f>AH14-AH19</f>
        <v/>
      </c>
      <c r="AI25" s="10">
        <f>AI14-AI19</f>
        <v/>
      </c>
      <c r="AJ25" s="10">
        <f>AJ14-AJ19</f>
        <v/>
      </c>
      <c r="AK25" s="10">
        <f>AK14-AK19</f>
        <v/>
      </c>
      <c r="AL25" s="10">
        <f>AL14-AL19</f>
        <v/>
      </c>
    </row>
    <row r="26">
      <c r="A26" s="8" t="inlineStr">
        <is>
          <t>Gross Margin %</t>
        </is>
      </c>
      <c r="B26" s="11">
        <f>IF(B14=0,0,B25/B14)</f>
        <v/>
      </c>
      <c r="C26" s="11">
        <f>IF(C14=0,0,C25/C14)</f>
        <v/>
      </c>
      <c r="D26" s="11">
        <f>IF(D14=0,0,D25/D14)</f>
        <v/>
      </c>
      <c r="E26" s="11">
        <f>IF(E14=0,0,E25/E14)</f>
        <v/>
      </c>
      <c r="F26" s="11">
        <f>IF(F14=0,0,F25/F14)</f>
        <v/>
      </c>
      <c r="G26" s="11">
        <f>IF(G14=0,0,G25/G14)</f>
        <v/>
      </c>
      <c r="H26" s="11">
        <f>IF(H14=0,0,H25/H14)</f>
        <v/>
      </c>
      <c r="I26" s="11">
        <f>IF(I14=0,0,I25/I14)</f>
        <v/>
      </c>
      <c r="J26" s="11">
        <f>IF(J14=0,0,J25/J14)</f>
        <v/>
      </c>
      <c r="K26" s="11">
        <f>IF(K14=0,0,K25/K14)</f>
        <v/>
      </c>
      <c r="L26" s="11">
        <f>IF(L14=0,0,L25/L14)</f>
        <v/>
      </c>
      <c r="M26" s="11">
        <f>IF(M14=0,0,M25/M14)</f>
        <v/>
      </c>
      <c r="N26" s="11">
        <f>IF(N14=0,0,N25/N14)</f>
        <v/>
      </c>
      <c r="O26" s="11">
        <f>IF(O14=0,0,O25/O14)</f>
        <v/>
      </c>
      <c r="P26" s="11">
        <f>IF(P14=0,0,P25/P14)</f>
        <v/>
      </c>
      <c r="Q26" s="11">
        <f>IF(Q14=0,0,Q25/Q14)</f>
        <v/>
      </c>
      <c r="R26" s="11">
        <f>IF(R14=0,0,R25/R14)</f>
        <v/>
      </c>
      <c r="S26" s="11">
        <f>IF(S14=0,0,S25/S14)</f>
        <v/>
      </c>
      <c r="T26" s="11">
        <f>IF(T14=0,0,T25/T14)</f>
        <v/>
      </c>
      <c r="U26" s="11">
        <f>IF(U14=0,0,U25/U14)</f>
        <v/>
      </c>
      <c r="V26" s="11">
        <f>IF(V14=0,0,V25/V14)</f>
        <v/>
      </c>
      <c r="W26" s="11">
        <f>IF(W14=0,0,W25/W14)</f>
        <v/>
      </c>
      <c r="X26" s="11">
        <f>IF(X14=0,0,X25/X14)</f>
        <v/>
      </c>
      <c r="Y26" s="11">
        <f>IF(Y14=0,0,Y25/Y14)</f>
        <v/>
      </c>
      <c r="Z26" s="11">
        <f>IF(Z14=0,0,Z25/Z14)</f>
        <v/>
      </c>
      <c r="AA26" s="11">
        <f>IF(AA14=0,0,AA25/AA14)</f>
        <v/>
      </c>
      <c r="AB26" s="11">
        <f>IF(AB14=0,0,AB25/AB14)</f>
        <v/>
      </c>
      <c r="AC26" s="11">
        <f>IF(AC14=0,0,AC25/AC14)</f>
        <v/>
      </c>
      <c r="AD26" s="11">
        <f>IF(AD14=0,0,AD25/AD14)</f>
        <v/>
      </c>
      <c r="AE26" s="11">
        <f>IF(AE14=0,0,AE25/AE14)</f>
        <v/>
      </c>
      <c r="AF26" s="11">
        <f>IF(AF14=0,0,AF25/AF14)</f>
        <v/>
      </c>
      <c r="AG26" s="11">
        <f>IF(AG14=0,0,AG25/AG14)</f>
        <v/>
      </c>
      <c r="AH26" s="11">
        <f>IF(AH14=0,0,AH25/AH14)</f>
        <v/>
      </c>
      <c r="AI26" s="11">
        <f>IF(AI14=0,0,AI25/AI14)</f>
        <v/>
      </c>
      <c r="AJ26" s="11">
        <f>IF(AJ14=0,0,AJ25/AJ14)</f>
        <v/>
      </c>
      <c r="AK26" s="11">
        <f>IF(AK14=0,0,AK25/AK14)</f>
        <v/>
      </c>
      <c r="AL26" s="11">
        <f>IF(AL14=0,0,AL25/AL14)</f>
        <v/>
      </c>
    </row>
    <row r="27">
      <c r="A27" s="8" t="inlineStr">
        <is>
          <t>Operating Profit</t>
        </is>
      </c>
      <c r="B27" s="10">
        <f>B14-B22</f>
        <v/>
      </c>
      <c r="C27" s="10">
        <f>C14-C22</f>
        <v/>
      </c>
      <c r="D27" s="10">
        <f>D14-D22</f>
        <v/>
      </c>
      <c r="E27" s="10">
        <f>E14-E22</f>
        <v/>
      </c>
      <c r="F27" s="10">
        <f>F14-F22</f>
        <v/>
      </c>
      <c r="G27" s="10">
        <f>G14-G22</f>
        <v/>
      </c>
      <c r="H27" s="10">
        <f>H14-H22</f>
        <v/>
      </c>
      <c r="I27" s="10">
        <f>I14-I22</f>
        <v/>
      </c>
      <c r="J27" s="10">
        <f>J14-J22</f>
        <v/>
      </c>
      <c r="K27" s="10">
        <f>K14-K22</f>
        <v/>
      </c>
      <c r="L27" s="10">
        <f>L14-L22</f>
        <v/>
      </c>
      <c r="M27" s="10">
        <f>M14-M22</f>
        <v/>
      </c>
      <c r="N27" s="10">
        <f>N14-N22</f>
        <v/>
      </c>
      <c r="O27" s="10">
        <f>O14-O22</f>
        <v/>
      </c>
      <c r="P27" s="10">
        <f>P14-P22</f>
        <v/>
      </c>
      <c r="Q27" s="10">
        <f>Q14-Q22</f>
        <v/>
      </c>
      <c r="R27" s="10">
        <f>R14-R22</f>
        <v/>
      </c>
      <c r="S27" s="10">
        <f>S14-S22</f>
        <v/>
      </c>
      <c r="T27" s="10">
        <f>T14-T22</f>
        <v/>
      </c>
      <c r="U27" s="10">
        <f>U14-U22</f>
        <v/>
      </c>
      <c r="V27" s="10">
        <f>V14-V22</f>
        <v/>
      </c>
      <c r="W27" s="10">
        <f>W14-W22</f>
        <v/>
      </c>
      <c r="X27" s="10">
        <f>X14-X22</f>
        <v/>
      </c>
      <c r="Y27" s="10">
        <f>Y14-Y22</f>
        <v/>
      </c>
      <c r="Z27" s="10">
        <f>Z14-Z22</f>
        <v/>
      </c>
      <c r="AA27" s="10">
        <f>AA14-AA22</f>
        <v/>
      </c>
      <c r="AB27" s="10">
        <f>AB14-AB22</f>
        <v/>
      </c>
      <c r="AC27" s="10">
        <f>AC14-AC22</f>
        <v/>
      </c>
      <c r="AD27" s="10">
        <f>AD14-AD22</f>
        <v/>
      </c>
      <c r="AE27" s="10">
        <f>AE14-AE22</f>
        <v/>
      </c>
      <c r="AF27" s="10">
        <f>AF14-AF22</f>
        <v/>
      </c>
      <c r="AG27" s="10">
        <f>AG14-AG22</f>
        <v/>
      </c>
      <c r="AH27" s="10">
        <f>AH14-AH22</f>
        <v/>
      </c>
      <c r="AI27" s="10">
        <f>AI14-AI22</f>
        <v/>
      </c>
      <c r="AJ27" s="10">
        <f>AJ14-AJ22</f>
        <v/>
      </c>
      <c r="AK27" s="10">
        <f>AK14-AK22</f>
        <v/>
      </c>
      <c r="AL27" s="10">
        <f>AL14-AL22</f>
        <v/>
      </c>
    </row>
    <row r="28">
      <c r="A28" s="8" t="inlineStr">
        <is>
          <t>Operating Margin %</t>
        </is>
      </c>
      <c r="B28" s="11">
        <f>IF(B14=0,0,B27/B14)</f>
        <v/>
      </c>
      <c r="C28" s="11">
        <f>IF(C14=0,0,C27/C14)</f>
        <v/>
      </c>
      <c r="D28" s="11">
        <f>IF(D14=0,0,D27/D14)</f>
        <v/>
      </c>
      <c r="E28" s="11">
        <f>IF(E14=0,0,E27/E14)</f>
        <v/>
      </c>
      <c r="F28" s="11">
        <f>IF(F14=0,0,F27/F14)</f>
        <v/>
      </c>
      <c r="G28" s="11">
        <f>IF(G14=0,0,G27/G14)</f>
        <v/>
      </c>
      <c r="H28" s="11">
        <f>IF(H14=0,0,H27/H14)</f>
        <v/>
      </c>
      <c r="I28" s="11">
        <f>IF(I14=0,0,I27/I14)</f>
        <v/>
      </c>
      <c r="J28" s="11">
        <f>IF(J14=0,0,J27/J14)</f>
        <v/>
      </c>
      <c r="K28" s="11">
        <f>IF(K14=0,0,K27/K14)</f>
        <v/>
      </c>
      <c r="L28" s="11">
        <f>IF(L14=0,0,L27/L14)</f>
        <v/>
      </c>
      <c r="M28" s="11">
        <f>IF(M14=0,0,M27/M14)</f>
        <v/>
      </c>
      <c r="N28" s="11">
        <f>IF(N14=0,0,N27/N14)</f>
        <v/>
      </c>
      <c r="O28" s="11">
        <f>IF(O14=0,0,O27/O14)</f>
        <v/>
      </c>
      <c r="P28" s="11">
        <f>IF(P14=0,0,P27/P14)</f>
        <v/>
      </c>
      <c r="Q28" s="11">
        <f>IF(Q14=0,0,Q27/Q14)</f>
        <v/>
      </c>
      <c r="R28" s="11">
        <f>IF(R14=0,0,R27/R14)</f>
        <v/>
      </c>
      <c r="S28" s="11">
        <f>IF(S14=0,0,S27/S14)</f>
        <v/>
      </c>
      <c r="T28" s="11">
        <f>IF(T14=0,0,T27/T14)</f>
        <v/>
      </c>
      <c r="U28" s="11">
        <f>IF(U14=0,0,U27/U14)</f>
        <v/>
      </c>
      <c r="V28" s="11">
        <f>IF(V14=0,0,V27/V14)</f>
        <v/>
      </c>
      <c r="W28" s="11">
        <f>IF(W14=0,0,W27/W14)</f>
        <v/>
      </c>
      <c r="X28" s="11">
        <f>IF(X14=0,0,X27/X14)</f>
        <v/>
      </c>
      <c r="Y28" s="11">
        <f>IF(Y14=0,0,Y27/Y14)</f>
        <v/>
      </c>
      <c r="Z28" s="11">
        <f>IF(Z14=0,0,Z27/Z14)</f>
        <v/>
      </c>
      <c r="AA28" s="11">
        <f>IF(AA14=0,0,AA27/AA14)</f>
        <v/>
      </c>
      <c r="AB28" s="11">
        <f>IF(AB14=0,0,AB27/AB14)</f>
        <v/>
      </c>
      <c r="AC28" s="11">
        <f>IF(AC14=0,0,AC27/AC14)</f>
        <v/>
      </c>
      <c r="AD28" s="11">
        <f>IF(AD14=0,0,AD27/AD14)</f>
        <v/>
      </c>
      <c r="AE28" s="11">
        <f>IF(AE14=0,0,AE27/AE14)</f>
        <v/>
      </c>
      <c r="AF28" s="11">
        <f>IF(AF14=0,0,AF27/AF14)</f>
        <v/>
      </c>
      <c r="AG28" s="11">
        <f>IF(AG14=0,0,AG27/AG14)</f>
        <v/>
      </c>
      <c r="AH28" s="11">
        <f>IF(AH14=0,0,AH27/AH14)</f>
        <v/>
      </c>
      <c r="AI28" s="11">
        <f>IF(AI14=0,0,AI27/AI14)</f>
        <v/>
      </c>
      <c r="AJ28" s="11">
        <f>IF(AJ14=0,0,AJ27/AJ14)</f>
        <v/>
      </c>
      <c r="AK28" s="11">
        <f>IF(AK14=0,0,AK27/AK14)</f>
        <v/>
      </c>
      <c r="AL28" s="11">
        <f>IF(AL14=0,0,AL27/AL14)</f>
        <v/>
      </c>
    </row>
    <row r="29">
      <c r="A29" s="8" t="inlineStr">
        <is>
          <t>Monthly Cash Flow</t>
        </is>
      </c>
      <c r="B29" s="10">
        <f>B27</f>
        <v/>
      </c>
      <c r="C29" s="10">
        <f>C27</f>
        <v/>
      </c>
      <c r="D29" s="10">
        <f>D27</f>
        <v/>
      </c>
      <c r="E29" s="10">
        <f>E27</f>
        <v/>
      </c>
      <c r="F29" s="10">
        <f>F27</f>
        <v/>
      </c>
      <c r="G29" s="10">
        <f>G27</f>
        <v/>
      </c>
      <c r="H29" s="10">
        <f>H27</f>
        <v/>
      </c>
      <c r="I29" s="10">
        <f>I27</f>
        <v/>
      </c>
      <c r="J29" s="10">
        <f>J27</f>
        <v/>
      </c>
      <c r="K29" s="10">
        <f>K27</f>
        <v/>
      </c>
      <c r="L29" s="10">
        <f>L27</f>
        <v/>
      </c>
      <c r="M29" s="10">
        <f>M27</f>
        <v/>
      </c>
      <c r="N29" s="10">
        <f>N27</f>
        <v/>
      </c>
      <c r="O29" s="10">
        <f>O27</f>
        <v/>
      </c>
      <c r="P29" s="10">
        <f>P27</f>
        <v/>
      </c>
      <c r="Q29" s="10">
        <f>Q27</f>
        <v/>
      </c>
      <c r="R29" s="10">
        <f>R27</f>
        <v/>
      </c>
      <c r="S29" s="10">
        <f>S27</f>
        <v/>
      </c>
      <c r="T29" s="10">
        <f>T27</f>
        <v/>
      </c>
      <c r="U29" s="10">
        <f>U27</f>
        <v/>
      </c>
      <c r="V29" s="10">
        <f>V27</f>
        <v/>
      </c>
      <c r="W29" s="10">
        <f>W27</f>
        <v/>
      </c>
      <c r="X29" s="10">
        <f>X27</f>
        <v/>
      </c>
      <c r="Y29" s="10">
        <f>Y27</f>
        <v/>
      </c>
      <c r="Z29" s="10">
        <f>Z27</f>
        <v/>
      </c>
      <c r="AA29" s="10">
        <f>AA27</f>
        <v/>
      </c>
      <c r="AB29" s="10">
        <f>AB27</f>
        <v/>
      </c>
      <c r="AC29" s="10">
        <f>AC27</f>
        <v/>
      </c>
      <c r="AD29" s="10">
        <f>AD27</f>
        <v/>
      </c>
      <c r="AE29" s="10">
        <f>AE27</f>
        <v/>
      </c>
      <c r="AF29" s="10">
        <f>AF27</f>
        <v/>
      </c>
      <c r="AG29" s="10">
        <f>AG27</f>
        <v/>
      </c>
      <c r="AH29" s="10">
        <f>AH27</f>
        <v/>
      </c>
      <c r="AI29" s="10">
        <f>AI27</f>
        <v/>
      </c>
      <c r="AJ29" s="10">
        <f>AJ27</f>
        <v/>
      </c>
      <c r="AK29" s="10">
        <f>AK27</f>
        <v/>
      </c>
      <c r="AL29" s="10">
        <f>AL27</f>
        <v/>
      </c>
    </row>
    <row r="30">
      <c r="A30" s="8" t="inlineStr">
        <is>
          <t>Cumulative Cash Flow</t>
        </is>
      </c>
      <c r="B30" s="10">
        <f>B29</f>
        <v/>
      </c>
      <c r="C30" s="10">
        <f>B30+C29</f>
        <v/>
      </c>
      <c r="D30" s="10">
        <f>C30+D29</f>
        <v/>
      </c>
      <c r="E30" s="10">
        <f>D30+E29</f>
        <v/>
      </c>
      <c r="F30" s="10">
        <f>E30+F29</f>
        <v/>
      </c>
      <c r="G30" s="10">
        <f>F30+G29</f>
        <v/>
      </c>
      <c r="H30" s="10">
        <f>G30+H29</f>
        <v/>
      </c>
      <c r="I30" s="10">
        <f>H30+I29</f>
        <v/>
      </c>
      <c r="J30" s="10">
        <f>I30+J29</f>
        <v/>
      </c>
      <c r="K30" s="10">
        <f>J30+K29</f>
        <v/>
      </c>
      <c r="L30" s="10">
        <f>K30+L29</f>
        <v/>
      </c>
      <c r="M30" s="10">
        <f>L30+M29</f>
        <v/>
      </c>
      <c r="N30" s="10">
        <f>M30+N29</f>
        <v/>
      </c>
      <c r="O30" s="10">
        <f>N30+O29</f>
        <v/>
      </c>
      <c r="P30" s="10">
        <f>O30+P29</f>
        <v/>
      </c>
      <c r="Q30" s="10">
        <f>P30+Q29</f>
        <v/>
      </c>
      <c r="R30" s="10">
        <f>Q30+R29</f>
        <v/>
      </c>
      <c r="S30" s="10">
        <f>R30+S29</f>
        <v/>
      </c>
      <c r="T30" s="10">
        <f>S30+T29</f>
        <v/>
      </c>
      <c r="U30" s="10">
        <f>T30+U29</f>
        <v/>
      </c>
      <c r="V30" s="10">
        <f>U30+V29</f>
        <v/>
      </c>
      <c r="W30" s="10">
        <f>V30+W29</f>
        <v/>
      </c>
      <c r="X30" s="10">
        <f>W30+X29</f>
        <v/>
      </c>
      <c r="Y30" s="10">
        <f>X30+Y29</f>
        <v/>
      </c>
      <c r="Z30" s="10">
        <f>Y30+Z29</f>
        <v/>
      </c>
      <c r="AA30" s="10">
        <f>Z30+AA29</f>
        <v/>
      </c>
      <c r="AB30" s="10">
        <f>AA30+AB29</f>
        <v/>
      </c>
      <c r="AC30" s="10">
        <f>AB30+AC29</f>
        <v/>
      </c>
      <c r="AD30" s="10">
        <f>AC30+AD29</f>
        <v/>
      </c>
      <c r="AE30" s="10">
        <f>AD30+AE29</f>
        <v/>
      </c>
      <c r="AF30" s="10">
        <f>AE30+AF29</f>
        <v/>
      </c>
      <c r="AG30" s="10">
        <f>AF30+AG29</f>
        <v/>
      </c>
      <c r="AH30" s="10">
        <f>AG30+AH29</f>
        <v/>
      </c>
      <c r="AI30" s="10">
        <f>AH30+AI29</f>
        <v/>
      </c>
      <c r="AJ30" s="10">
        <f>AI30+AJ29</f>
        <v/>
      </c>
      <c r="AK30" s="10">
        <f>AJ30+AK29</f>
        <v/>
      </c>
      <c r="AL30" s="10">
        <f>AK30+AL29</f>
        <v/>
      </c>
    </row>
    <row r="32">
      <c r="A32" s="2" t="inlineStr">
        <is>
          <t>KEY METRICS</t>
        </is>
      </c>
    </row>
    <row r="33">
      <c r="A33" s="8" t="inlineStr">
        <is>
          <t>Customer Lifetime Value (LTV)</t>
        </is>
      </c>
      <c r="B33" s="10">
        <f>(monthly_price*monthly_mix + annual_price/12*annual_mix)/churn_rate</f>
        <v/>
      </c>
      <c r="C33" s="10">
        <f>(monthly_price*monthly_mix + annual_price/12*annual_mix)/churn_rate</f>
        <v/>
      </c>
      <c r="D33" s="10">
        <f>(monthly_price*monthly_mix + annual_price/12*annual_mix)/churn_rate</f>
        <v/>
      </c>
      <c r="E33" s="10">
        <f>(monthly_price*monthly_mix + annual_price/12*annual_mix)/churn_rate</f>
        <v/>
      </c>
      <c r="F33" s="10">
        <f>(monthly_price*monthly_mix + annual_price/12*annual_mix)/churn_rate</f>
        <v/>
      </c>
      <c r="G33" s="10">
        <f>(monthly_price*monthly_mix + annual_price/12*annual_mix)/churn_rate</f>
        <v/>
      </c>
      <c r="H33" s="10">
        <f>(monthly_price*monthly_mix + annual_price/12*annual_mix)/churn_rate</f>
        <v/>
      </c>
      <c r="I33" s="10">
        <f>(monthly_price*monthly_mix + annual_price/12*annual_mix)/churn_rate</f>
        <v/>
      </c>
      <c r="J33" s="10">
        <f>(monthly_price*monthly_mix + annual_price/12*annual_mix)/churn_rate</f>
        <v/>
      </c>
      <c r="K33" s="10">
        <f>(monthly_price*monthly_mix + annual_price/12*annual_mix)/churn_rate</f>
        <v/>
      </c>
      <c r="L33" s="10">
        <f>(monthly_price*monthly_mix + annual_price/12*annual_mix)/churn_rate</f>
        <v/>
      </c>
      <c r="M33" s="10">
        <f>(monthly_price*monthly_mix + annual_price/12*annual_mix)/churn_rate</f>
        <v/>
      </c>
      <c r="N33" s="10">
        <f>(monthly_price*monthly_mix + annual_price/12*annual_mix)/churn_rate</f>
        <v/>
      </c>
      <c r="O33" s="10">
        <f>(monthly_price*monthly_mix + annual_price/12*annual_mix)/churn_rate</f>
        <v/>
      </c>
      <c r="P33" s="10">
        <f>(monthly_price*monthly_mix + annual_price/12*annual_mix)/churn_rate</f>
        <v/>
      </c>
      <c r="Q33" s="10">
        <f>(monthly_price*monthly_mix + annual_price/12*annual_mix)/churn_rate</f>
        <v/>
      </c>
      <c r="R33" s="10">
        <f>(monthly_price*monthly_mix + annual_price/12*annual_mix)/churn_rate</f>
        <v/>
      </c>
      <c r="S33" s="10">
        <f>(monthly_price*monthly_mix + annual_price/12*annual_mix)/churn_rate</f>
        <v/>
      </c>
      <c r="T33" s="10">
        <f>(monthly_price*monthly_mix + annual_price/12*annual_mix)/churn_rate</f>
        <v/>
      </c>
      <c r="U33" s="10">
        <f>(monthly_price*monthly_mix + annual_price/12*annual_mix)/churn_rate</f>
        <v/>
      </c>
      <c r="V33" s="10">
        <f>(monthly_price*monthly_mix + annual_price/12*annual_mix)/churn_rate</f>
        <v/>
      </c>
      <c r="W33" s="10">
        <f>(monthly_price*monthly_mix + annual_price/12*annual_mix)/churn_rate</f>
        <v/>
      </c>
      <c r="X33" s="10">
        <f>(monthly_price*monthly_mix + annual_price/12*annual_mix)/churn_rate</f>
        <v/>
      </c>
      <c r="Y33" s="10">
        <f>(monthly_price*monthly_mix + annual_price/12*annual_mix)/churn_rate</f>
        <v/>
      </c>
      <c r="Z33" s="10">
        <f>(monthly_price*monthly_mix + annual_price/12*annual_mix)/churn_rate</f>
        <v/>
      </c>
      <c r="AA33" s="10">
        <f>(monthly_price*monthly_mix + annual_price/12*annual_mix)/churn_rate</f>
        <v/>
      </c>
      <c r="AB33" s="10">
        <f>(monthly_price*monthly_mix + annual_price/12*annual_mix)/churn_rate</f>
        <v/>
      </c>
      <c r="AC33" s="10">
        <f>(monthly_price*monthly_mix + annual_price/12*annual_mix)/churn_rate</f>
        <v/>
      </c>
      <c r="AD33" s="10">
        <f>(monthly_price*monthly_mix + annual_price/12*annual_mix)/churn_rate</f>
        <v/>
      </c>
      <c r="AE33" s="10">
        <f>(monthly_price*monthly_mix + annual_price/12*annual_mix)/churn_rate</f>
        <v/>
      </c>
      <c r="AF33" s="10">
        <f>(monthly_price*monthly_mix + annual_price/12*annual_mix)/churn_rate</f>
        <v/>
      </c>
      <c r="AG33" s="10">
        <f>(monthly_price*monthly_mix + annual_price/12*annual_mix)/churn_rate</f>
        <v/>
      </c>
      <c r="AH33" s="10">
        <f>(monthly_price*monthly_mix + annual_price/12*annual_mix)/churn_rate</f>
        <v/>
      </c>
      <c r="AI33" s="10">
        <f>(monthly_price*monthly_mix + annual_price/12*annual_mix)/churn_rate</f>
        <v/>
      </c>
      <c r="AJ33" s="10">
        <f>(monthly_price*monthly_mix + annual_price/12*annual_mix)/churn_rate</f>
        <v/>
      </c>
      <c r="AK33" s="10">
        <f>(monthly_price*monthly_mix + annual_price/12*annual_mix)/churn_rate</f>
        <v/>
      </c>
      <c r="AL33" s="10">
        <f>(monthly_price*monthly_mix + annual_price/12*annual_mix)/churn_rate</f>
        <v/>
      </c>
    </row>
    <row r="34">
      <c r="A34" s="8" t="inlineStr">
        <is>
          <t>LTV:CAC Ratio</t>
        </is>
      </c>
      <c r="B34" s="12">
        <f>B33/cac</f>
        <v/>
      </c>
      <c r="C34" s="12">
        <f>C33/cac</f>
        <v/>
      </c>
      <c r="D34" s="12">
        <f>D33/cac</f>
        <v/>
      </c>
      <c r="E34" s="12">
        <f>E33/cac</f>
        <v/>
      </c>
      <c r="F34" s="12">
        <f>F33/cac</f>
        <v/>
      </c>
      <c r="G34" s="12">
        <f>G33/cac</f>
        <v/>
      </c>
      <c r="H34" s="12">
        <f>H33/cac</f>
        <v/>
      </c>
      <c r="I34" s="12">
        <f>I33/cac</f>
        <v/>
      </c>
      <c r="J34" s="12">
        <f>J33/cac</f>
        <v/>
      </c>
      <c r="K34" s="12">
        <f>K33/cac</f>
        <v/>
      </c>
      <c r="L34" s="12">
        <f>L33/cac</f>
        <v/>
      </c>
      <c r="M34" s="12">
        <f>M33/cac</f>
        <v/>
      </c>
      <c r="N34" s="12">
        <f>N33/cac</f>
        <v/>
      </c>
      <c r="O34" s="12">
        <f>O33/cac</f>
        <v/>
      </c>
      <c r="P34" s="12">
        <f>P33/cac</f>
        <v/>
      </c>
      <c r="Q34" s="12">
        <f>Q33/cac</f>
        <v/>
      </c>
      <c r="R34" s="12">
        <f>R33/cac</f>
        <v/>
      </c>
      <c r="S34" s="12">
        <f>S33/cac</f>
        <v/>
      </c>
      <c r="T34" s="12">
        <f>T33/cac</f>
        <v/>
      </c>
      <c r="U34" s="12">
        <f>U33/cac</f>
        <v/>
      </c>
      <c r="V34" s="12">
        <f>V33/cac</f>
        <v/>
      </c>
      <c r="W34" s="12">
        <f>W33/cac</f>
        <v/>
      </c>
      <c r="X34" s="12">
        <f>X33/cac</f>
        <v/>
      </c>
      <c r="Y34" s="12">
        <f>Y33/cac</f>
        <v/>
      </c>
      <c r="Z34" s="12">
        <f>Z33/cac</f>
        <v/>
      </c>
      <c r="AA34" s="12">
        <f>AA33/cac</f>
        <v/>
      </c>
      <c r="AB34" s="12">
        <f>AB33/cac</f>
        <v/>
      </c>
      <c r="AC34" s="12">
        <f>AC33/cac</f>
        <v/>
      </c>
      <c r="AD34" s="12">
        <f>AD33/cac</f>
        <v/>
      </c>
      <c r="AE34" s="12">
        <f>AE33/cac</f>
        <v/>
      </c>
      <c r="AF34" s="12">
        <f>AF33/cac</f>
        <v/>
      </c>
      <c r="AG34" s="12">
        <f>AG33/cac</f>
        <v/>
      </c>
      <c r="AH34" s="12">
        <f>AH33/cac</f>
        <v/>
      </c>
      <c r="AI34" s="12">
        <f>AI33/cac</f>
        <v/>
      </c>
      <c r="AJ34" s="12">
        <f>AJ33/cac</f>
        <v/>
      </c>
      <c r="AK34" s="12">
        <f>AK33/cac</f>
        <v/>
      </c>
      <c r="AL34" s="12">
        <f>AL33/cac</f>
        <v/>
      </c>
    </row>
  </sheetData>
  <conditionalFormatting sqref="B29:AL29">
    <cfRule type="cellIs" priority="1" operator="lessThan" dxfId="0">
      <formula>0</formula>
    </cfRule>
  </conditionalFormatting>
  <conditionalFormatting sqref="B30:AL30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3" t="inlineStr">
        <is>
          <t>SaaS Financial Model Dashboard</t>
        </is>
      </c>
    </row>
    <row r="3">
      <c r="A3" s="2" t="inlineStr">
        <is>
          <t>KEY MILESTONES</t>
        </is>
      </c>
    </row>
    <row r="4">
      <c r="A4" s="14" t="inlineStr">
        <is>
          <t>Metric</t>
        </is>
      </c>
      <c r="B4" s="14" t="inlineStr">
        <is>
          <t>Month 12</t>
        </is>
      </c>
      <c r="C4" s="14" t="inlineStr">
        <is>
          <t>Month 24</t>
        </is>
      </c>
      <c r="D4" s="14" t="inlineStr">
        <is>
          <t>Month 36</t>
        </is>
      </c>
    </row>
    <row r="5">
      <c r="A5" s="8" t="inlineStr">
        <is>
          <t>Total Customers</t>
        </is>
      </c>
      <c r="B5" s="9">
        <f>'Financial Model'!G7</f>
        <v/>
      </c>
      <c r="C5" s="9">
        <f>'Financial Model'!Q7</f>
        <v/>
      </c>
      <c r="D5" s="9">
        <f>'Financial Model'!AK7</f>
        <v/>
      </c>
    </row>
    <row r="6">
      <c r="A6" s="8" t="inlineStr">
        <is>
          <t>Monthly Revenue</t>
        </is>
      </c>
      <c r="B6" s="10">
        <f>'Financial Model'!G14</f>
        <v/>
      </c>
      <c r="C6" s="10">
        <f>'Financial Model'!Q14</f>
        <v/>
      </c>
      <c r="D6" s="10">
        <f>'Financial Model'!AK14</f>
        <v/>
      </c>
    </row>
    <row r="7">
      <c r="A7" s="8" t="inlineStr">
        <is>
          <t>ARR</t>
        </is>
      </c>
      <c r="B7" s="10">
        <f>'Financial Model'!G15</f>
        <v/>
      </c>
      <c r="C7" s="10">
        <f>'Financial Model'!Q15</f>
        <v/>
      </c>
      <c r="D7" s="10">
        <f>'Financial Model'!AK15</f>
        <v/>
      </c>
    </row>
    <row r="8">
      <c r="A8" s="8" t="inlineStr">
        <is>
          <t>Gross Margin %</t>
        </is>
      </c>
      <c r="B8" s="11">
        <f>'Financial Model'!G26</f>
        <v/>
      </c>
      <c r="C8" s="11">
        <f>'Financial Model'!Q26</f>
        <v/>
      </c>
      <c r="D8" s="11">
        <f>'Financial Model'!AK26</f>
        <v/>
      </c>
    </row>
    <row r="9">
      <c r="A9" s="8" t="inlineStr">
        <is>
          <t>Operating Margin %</t>
        </is>
      </c>
      <c r="B9" s="11">
        <f>'Financial Model'!G28</f>
        <v/>
      </c>
      <c r="C9" s="11">
        <f>'Financial Model'!Q28</f>
        <v/>
      </c>
      <c r="D9" s="11">
        <f>'Financial Model'!AK28</f>
        <v/>
      </c>
    </row>
    <row r="10">
      <c r="A10" s="8" t="inlineStr">
        <is>
          <t>LTV:CAC Ratio</t>
        </is>
      </c>
      <c r="B10" s="12">
        <f>'Financial Model'!G34</f>
        <v/>
      </c>
      <c r="C10" s="12">
        <f>'Financial Model'!Q34</f>
        <v/>
      </c>
      <c r="D10" s="12">
        <f>'Financial Model'!AK34</f>
        <v/>
      </c>
    </row>
    <row r="11">
      <c r="A11" s="8" t="inlineStr">
        <is>
          <t>Cumulative Cash Flow</t>
        </is>
      </c>
      <c r="B11" s="10">
        <f>'Financial Model'!G30</f>
        <v/>
      </c>
      <c r="C11" s="10">
        <f>'Financial Model'!Q30</f>
        <v/>
      </c>
      <c r="D11" s="10">
        <f>'Financial Model'!AK30</f>
        <v/>
      </c>
    </row>
    <row r="14">
      <c r="A14" s="2" t="inlineStr">
        <is>
          <t>BUSINESS HEALTH INDICATORS</t>
        </is>
      </c>
    </row>
    <row r="15">
      <c r="A15" s="8" t="inlineStr">
        <is>
          <t>Average Gross Margin (36 months)</t>
        </is>
      </c>
      <c r="B15" s="11">
        <f>AVERAGE('Financial Model'!B26:AK26)</f>
        <v/>
      </c>
    </row>
    <row r="16">
      <c r="A16" s="8" t="inlineStr">
        <is>
          <t>Average LTV:CAC Ratio (36 months)</t>
        </is>
      </c>
      <c r="B16" s="12">
        <f>AVERAGE('Financial Model'!B34:AK34)</f>
        <v/>
      </c>
    </row>
    <row r="17">
      <c r="A17" s="8" t="inlineStr">
        <is>
          <t>Months to Profitability</t>
        </is>
      </c>
      <c r="B17">
        <f>IFERROR(MATCH(TRUE,'Financial Model'!B29:AK29&gt;0,0),"Not Yet")</f>
        <v/>
      </c>
    </row>
    <row r="18">
      <c r="A18" s="8" t="inlineStr">
        <is>
          <t>Months to Positive Cumulative Cash Flow</t>
        </is>
      </c>
      <c r="B18">
        <f>IFERROR(MATCH(TRUE,'Financial Model'!B30:AK30&gt;0,0),"Not Yet")</f>
        <v/>
      </c>
    </row>
  </sheetData>
  <mergeCells count="2">
    <mergeCell ref="A14:C14"/>
    <mergeCell ref="A3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2025-11-19T04:28:16Z</dcterms:created>
  <dcterms:modified xmlns:dcterms="http://purl.org/dc/terms/" xmlns:xsi="http://www.w3.org/2001/XMLSchema-instance" xsi:type="dcterms:W3CDTF">2025-11-19T04:28:16Z</dcterms:modified>
</cp:coreProperties>
</file>